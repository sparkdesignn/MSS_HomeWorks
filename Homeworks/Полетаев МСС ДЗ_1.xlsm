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Ivan\Desktop\"/>
    </mc:Choice>
  </mc:AlternateContent>
  <xr:revisionPtr revIDLastSave="0" documentId="13_ncr:1_{6C57934D-DDF5-4A21-B1F6-62998E3D968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2" sheetId="8" r:id="rId2"/>
    <sheet name="Лист3" sheetId="9" r:id="rId3"/>
    <sheet name="Лист4" sheetId="10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0" l="1"/>
  <c r="I18" i="10" s="1"/>
  <c r="K18" i="10"/>
  <c r="L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J18" i="10"/>
  <c r="F13" i="10"/>
  <c r="H18" i="10"/>
  <c r="G18" i="10"/>
  <c r="AJ13" i="10"/>
  <c r="AI18" i="10" s="1"/>
  <c r="C4" i="10"/>
  <c r="K16" i="10" s="1"/>
  <c r="F16" i="9"/>
  <c r="Z16" i="10" l="1"/>
  <c r="V16" i="10"/>
  <c r="R18" i="10"/>
  <c r="Q18" i="10"/>
  <c r="P18" i="10"/>
  <c r="O18" i="10"/>
  <c r="AH16" i="10"/>
  <c r="R16" i="10"/>
  <c r="N16" i="10"/>
  <c r="J16" i="10"/>
  <c r="N18" i="10"/>
  <c r="M18" i="10"/>
  <c r="J18" i="10"/>
  <c r="AD16" i="10"/>
  <c r="AG16" i="10"/>
  <c r="AC16" i="10"/>
  <c r="Y16" i="10"/>
  <c r="U16" i="10"/>
  <c r="Q16" i="10"/>
  <c r="M16" i="10"/>
  <c r="I16" i="10"/>
  <c r="C18" i="10"/>
  <c r="C20" i="10" s="1"/>
  <c r="G20" i="10" s="1"/>
  <c r="H20" i="10" s="1"/>
  <c r="I20" i="10" s="1"/>
  <c r="J20" i="10" s="1"/>
  <c r="K20" i="10" s="1"/>
  <c r="L20" i="10" s="1"/>
  <c r="M20" i="10" s="1"/>
  <c r="N20" i="10" s="1"/>
  <c r="O20" i="10" s="1"/>
  <c r="P20" i="10" s="1"/>
  <c r="Q20" i="10" s="1"/>
  <c r="R20" i="10" s="1"/>
  <c r="S20" i="10" s="1"/>
  <c r="T20" i="10" s="1"/>
  <c r="U20" i="10" s="1"/>
  <c r="V20" i="10" s="1"/>
  <c r="W20" i="10" s="1"/>
  <c r="X20" i="10" s="1"/>
  <c r="Y20" i="10" s="1"/>
  <c r="Z20" i="10" s="1"/>
  <c r="AA20" i="10" s="1"/>
  <c r="AB20" i="10" s="1"/>
  <c r="AC20" i="10" s="1"/>
  <c r="AD20" i="10" s="1"/>
  <c r="AE20" i="10" s="1"/>
  <c r="AF20" i="10" s="1"/>
  <c r="AG20" i="10" s="1"/>
  <c r="AH20" i="10" s="1"/>
  <c r="AI20" i="10" s="1"/>
  <c r="G16" i="10"/>
  <c r="AF16" i="10"/>
  <c r="AB16" i="10"/>
  <c r="X16" i="10"/>
  <c r="T16" i="10"/>
  <c r="P16" i="10"/>
  <c r="L16" i="10"/>
  <c r="H16" i="10"/>
  <c r="C19" i="10"/>
  <c r="AI16" i="10"/>
  <c r="AE16" i="10"/>
  <c r="AA16" i="10"/>
  <c r="W16" i="10"/>
  <c r="S16" i="10"/>
  <c r="O16" i="10"/>
  <c r="G12" i="10"/>
  <c r="C4" i="9"/>
  <c r="C5" i="9" s="1"/>
  <c r="I15" i="9" l="1"/>
  <c r="M15" i="9"/>
  <c r="Q15" i="9"/>
  <c r="U15" i="9"/>
  <c r="Y15" i="9"/>
  <c r="AC15" i="9"/>
  <c r="AG15" i="9"/>
  <c r="J15" i="9"/>
  <c r="N15" i="9"/>
  <c r="R15" i="9"/>
  <c r="V15" i="9"/>
  <c r="Z15" i="9"/>
  <c r="AD15" i="9"/>
  <c r="AH15" i="9"/>
  <c r="K15" i="9"/>
  <c r="O15" i="9"/>
  <c r="S15" i="9"/>
  <c r="W15" i="9"/>
  <c r="AA15" i="9"/>
  <c r="AE15" i="9"/>
  <c r="AI15" i="9"/>
  <c r="H15" i="9"/>
  <c r="L15" i="9"/>
  <c r="P15" i="9"/>
  <c r="T15" i="9"/>
  <c r="X15" i="9"/>
  <c r="AB15" i="9"/>
  <c r="AF15" i="9"/>
  <c r="G15" i="9"/>
  <c r="H12" i="10"/>
  <c r="I12" i="10" s="1"/>
  <c r="J12" i="10" s="1"/>
  <c r="K12" i="10" s="1"/>
  <c r="L12" i="10" s="1"/>
  <c r="M12" i="10" s="1"/>
  <c r="N12" i="10" s="1"/>
  <c r="O12" i="10" s="1"/>
  <c r="P12" i="10" s="1"/>
  <c r="Q12" i="10" s="1"/>
  <c r="R12" i="10" s="1"/>
  <c r="S12" i="10" s="1"/>
  <c r="T12" i="10" s="1"/>
  <c r="U12" i="10" s="1"/>
  <c r="V12" i="10" s="1"/>
  <c r="W12" i="10" s="1"/>
  <c r="X12" i="10" s="1"/>
  <c r="Y12" i="10" s="1"/>
  <c r="Z12" i="10" s="1"/>
  <c r="AA12" i="10" s="1"/>
  <c r="AB12" i="10" s="1"/>
  <c r="AC12" i="10" s="1"/>
  <c r="AD12" i="10" s="1"/>
  <c r="AE12" i="10" s="1"/>
  <c r="AF12" i="10" s="1"/>
  <c r="AG12" i="10" s="1"/>
  <c r="AH12" i="10" s="1"/>
  <c r="AI12" i="10" s="1"/>
  <c r="AJ12" i="10" s="1"/>
  <c r="I16" i="9"/>
  <c r="M16" i="9"/>
  <c r="Q16" i="9"/>
  <c r="U16" i="9"/>
  <c r="Y16" i="9"/>
  <c r="AC16" i="9"/>
  <c r="AG16" i="9"/>
  <c r="F13" i="9"/>
  <c r="G16" i="9" s="1"/>
  <c r="J16" i="9"/>
  <c r="N16" i="9"/>
  <c r="R16" i="9"/>
  <c r="V16" i="9"/>
  <c r="Z16" i="9"/>
  <c r="AD16" i="9"/>
  <c r="AH16" i="9"/>
  <c r="K16" i="9"/>
  <c r="O16" i="9"/>
  <c r="S16" i="9"/>
  <c r="W16" i="9"/>
  <c r="AA16" i="9"/>
  <c r="AE16" i="9"/>
  <c r="AI16" i="9"/>
  <c r="H16" i="9"/>
  <c r="L16" i="9"/>
  <c r="P16" i="9"/>
  <c r="T16" i="9"/>
  <c r="X16" i="9"/>
  <c r="AB16" i="9"/>
  <c r="AF16" i="9"/>
  <c r="G19" i="10"/>
  <c r="H19" i="10" s="1"/>
  <c r="I19" i="10" s="1"/>
  <c r="J19" i="10" s="1"/>
  <c r="K19" i="10" s="1"/>
  <c r="L19" i="10" s="1"/>
  <c r="M19" i="10" s="1"/>
  <c r="N19" i="10" s="1"/>
  <c r="O19" i="10" s="1"/>
  <c r="P19" i="10" s="1"/>
  <c r="Q19" i="10" s="1"/>
  <c r="R19" i="10" s="1"/>
  <c r="S19" i="10" s="1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AD19" i="10" s="1"/>
  <c r="AE19" i="10" s="1"/>
  <c r="AF19" i="10" s="1"/>
  <c r="AG19" i="10" s="1"/>
  <c r="AH19" i="10" s="1"/>
  <c r="AI19" i="10" s="1"/>
  <c r="AI15" i="10" s="1"/>
  <c r="AH15" i="10" s="1"/>
  <c r="AG15" i="10" s="1"/>
  <c r="AF15" i="10" s="1"/>
  <c r="AE15" i="10" s="1"/>
  <c r="AD15" i="10" s="1"/>
  <c r="AC15" i="10" s="1"/>
  <c r="AB15" i="10" s="1"/>
  <c r="AA15" i="10" s="1"/>
  <c r="Z15" i="10" s="1"/>
  <c r="Y15" i="10" s="1"/>
  <c r="X15" i="10" s="1"/>
  <c r="W15" i="10" s="1"/>
  <c r="V15" i="10" s="1"/>
  <c r="U15" i="10" s="1"/>
  <c r="T15" i="10" s="1"/>
  <c r="S15" i="10" s="1"/>
  <c r="R15" i="10" s="1"/>
  <c r="Q15" i="10" s="1"/>
  <c r="P15" i="10" s="1"/>
  <c r="O15" i="10" s="1"/>
  <c r="N15" i="10" s="1"/>
  <c r="M15" i="10" s="1"/>
  <c r="L15" i="10" s="1"/>
  <c r="K15" i="10" s="1"/>
  <c r="J15" i="10" s="1"/>
  <c r="I15" i="10" s="1"/>
  <c r="H15" i="10" s="1"/>
  <c r="G15" i="10" s="1"/>
  <c r="G12" i="9"/>
  <c r="H12" i="9" s="1"/>
  <c r="I12" i="9" s="1"/>
  <c r="J12" i="9" s="1"/>
  <c r="K12" i="9" s="1"/>
  <c r="L12" i="9" s="1"/>
  <c r="M12" i="9" s="1"/>
  <c r="N12" i="9" s="1"/>
  <c r="O12" i="9" s="1"/>
  <c r="P12" i="9" s="1"/>
  <c r="Q12" i="9" s="1"/>
  <c r="R12" i="9" s="1"/>
  <c r="S12" i="9" s="1"/>
  <c r="T12" i="9" s="1"/>
  <c r="U12" i="9" s="1"/>
  <c r="V12" i="9" s="1"/>
  <c r="W12" i="9" s="1"/>
  <c r="X12" i="9" s="1"/>
  <c r="Y12" i="9" s="1"/>
  <c r="Z12" i="9" s="1"/>
  <c r="AA12" i="9" s="1"/>
  <c r="AB12" i="9" s="1"/>
  <c r="AC12" i="9" s="1"/>
  <c r="AD12" i="9" s="1"/>
  <c r="AE12" i="9" s="1"/>
  <c r="AF12" i="9" s="1"/>
  <c r="AG12" i="9" s="1"/>
  <c r="AH12" i="9" s="1"/>
  <c r="AI12" i="9" s="1"/>
  <c r="AJ12" i="9" s="1"/>
  <c r="AJ13" i="8" l="1"/>
  <c r="C4" i="8"/>
  <c r="AH16" i="8" s="1"/>
  <c r="G12" i="8" l="1"/>
  <c r="H12" i="8" s="1"/>
  <c r="I12" i="8" s="1"/>
  <c r="J12" i="8" s="1"/>
  <c r="K12" i="8" s="1"/>
  <c r="L12" i="8" s="1"/>
  <c r="M12" i="8" s="1"/>
  <c r="N12" i="8" s="1"/>
  <c r="O12" i="8" s="1"/>
  <c r="P12" i="8" s="1"/>
  <c r="Q12" i="8" s="1"/>
  <c r="R12" i="8" s="1"/>
  <c r="S12" i="8" s="1"/>
  <c r="T12" i="8" s="1"/>
  <c r="U12" i="8" s="1"/>
  <c r="V12" i="8" s="1"/>
  <c r="W12" i="8" s="1"/>
  <c r="X12" i="8" s="1"/>
  <c r="Y12" i="8" s="1"/>
  <c r="Z12" i="8" s="1"/>
  <c r="AA12" i="8" s="1"/>
  <c r="AB12" i="8" s="1"/>
  <c r="AC12" i="8" s="1"/>
  <c r="AD12" i="8" s="1"/>
  <c r="AE12" i="8" s="1"/>
  <c r="AF12" i="8" s="1"/>
  <c r="AG12" i="8" s="1"/>
  <c r="AH12" i="8" s="1"/>
  <c r="AI12" i="8" s="1"/>
  <c r="AJ12" i="8" s="1"/>
  <c r="N16" i="8"/>
  <c r="O16" i="8"/>
  <c r="W16" i="8"/>
  <c r="AD16" i="8"/>
  <c r="J16" i="8"/>
  <c r="R16" i="8"/>
  <c r="V16" i="8"/>
  <c r="Z16" i="8"/>
  <c r="AE16" i="8"/>
  <c r="AG16" i="8"/>
  <c r="F13" i="8"/>
  <c r="G16" i="8" s="1"/>
  <c r="K16" i="8"/>
  <c r="S16" i="8"/>
  <c r="AA16" i="8"/>
  <c r="AI16" i="8"/>
  <c r="H16" i="8"/>
  <c r="L16" i="8"/>
  <c r="P16" i="8"/>
  <c r="T16" i="8"/>
  <c r="X16" i="8"/>
  <c r="AB16" i="8"/>
  <c r="AF16" i="8"/>
  <c r="C5" i="8"/>
  <c r="I16" i="8"/>
  <c r="M16" i="8"/>
  <c r="Q16" i="8"/>
  <c r="U16" i="8"/>
  <c r="Y16" i="8"/>
  <c r="AC16" i="8"/>
  <c r="AH15" i="8" l="1"/>
  <c r="AD15" i="8"/>
  <c r="Z15" i="8"/>
  <c r="V15" i="8"/>
  <c r="R15" i="8"/>
  <c r="N15" i="8"/>
  <c r="J15" i="8"/>
  <c r="AG15" i="8"/>
  <c r="AC15" i="8"/>
  <c r="Y15" i="8"/>
  <c r="U15" i="8"/>
  <c r="Q15" i="8"/>
  <c r="M15" i="8"/>
  <c r="I15" i="8"/>
  <c r="AF15" i="8"/>
  <c r="AB15" i="8"/>
  <c r="X15" i="8"/>
  <c r="T15" i="8"/>
  <c r="P15" i="8"/>
  <c r="L15" i="8"/>
  <c r="H15" i="8"/>
  <c r="AI15" i="8"/>
  <c r="AE15" i="8"/>
  <c r="AA15" i="8"/>
  <c r="W15" i="8"/>
  <c r="S15" i="8"/>
  <c r="O15" i="8"/>
  <c r="K15" i="8"/>
  <c r="G15" i="8"/>
  <c r="AJ13" i="1" l="1"/>
  <c r="F13" i="1"/>
  <c r="C4" i="1"/>
  <c r="C5" i="1" s="1"/>
  <c r="M15" i="1" l="1"/>
  <c r="U15" i="1"/>
  <c r="AC15" i="1"/>
  <c r="J15" i="1"/>
  <c r="R15" i="1"/>
  <c r="Z15" i="1"/>
  <c r="AH15" i="1"/>
  <c r="H15" i="1"/>
  <c r="O15" i="1"/>
  <c r="AE15" i="1"/>
  <c r="L15" i="1"/>
  <c r="T15" i="1"/>
  <c r="AB15" i="1"/>
  <c r="I15" i="1"/>
  <c r="Y15" i="1"/>
  <c r="AG15" i="1"/>
  <c r="N15" i="1"/>
  <c r="AD15" i="1"/>
  <c r="S15" i="1"/>
  <c r="AA15" i="1"/>
  <c r="P15" i="1"/>
  <c r="X15" i="1"/>
  <c r="W15" i="1"/>
  <c r="Q15" i="1"/>
  <c r="V15" i="1"/>
  <c r="K15" i="1"/>
  <c r="AF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I15" i="1"/>
  <c r="G15" i="1"/>
</calcChain>
</file>

<file path=xl/sharedStrings.xml><?xml version="1.0" encoding="utf-8"?>
<sst xmlns="http://schemas.openxmlformats.org/spreadsheetml/2006/main" count="62" uniqueCount="20">
  <si>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</si>
  <si>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</si>
  <si>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</si>
  <si>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</si>
  <si>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</si>
  <si>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</si>
  <si>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</si>
  <si>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</si>
  <si>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</si>
  <si>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</si>
  <si>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T_iter</t>
  </si>
  <si>
    <t>q_start</t>
  </si>
  <si>
    <t>q</t>
  </si>
  <si>
    <t>α</t>
  </si>
  <si>
    <t>T_gas</t>
  </si>
  <si>
    <t>A</t>
  </si>
  <si>
    <t>B</t>
  </si>
  <si>
    <t>C</t>
  </si>
  <si>
    <t>F</t>
  </si>
  <si>
    <t>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</si>
</sst>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0" fontId="1" fillId="0" borderId="1" xfId="0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/>
    <xf numFmtId="0" fontId="1" fillId="0" borderId="2" xfId="0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" fontId="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 formatCode="0">
                  <c:v>300</c:v>
                </c:pt>
                <c:pt idx="1">
                  <c:v>293.28675798022084</c:v>
                </c:pt>
                <c:pt idx="2">
                  <c:v>286.57351596044163</c:v>
                </c:pt>
                <c:pt idx="3">
                  <c:v>279.86230950710069</c:v>
                </c:pt>
                <c:pt idx="4">
                  <c:v>273.15110305375981</c:v>
                </c:pt>
                <c:pt idx="5">
                  <c:v>266.44387876927192</c:v>
                </c:pt>
                <c:pt idx="6">
                  <c:v>259.73665448478408</c:v>
                </c:pt>
                <c:pt idx="7">
                  <c:v>253.03518493167226</c:v>
                </c:pt>
                <c:pt idx="8">
                  <c:v>246.33371537856041</c:v>
                </c:pt>
                <c:pt idx="9">
                  <c:v>239.63952160996649</c:v>
                </c:pt>
                <c:pt idx="10">
                  <c:v>232.9453278413726</c:v>
                </c:pt>
                <c:pt idx="11">
                  <c:v>226.25961292373614</c:v>
                </c:pt>
                <c:pt idx="12">
                  <c:v>219.57389800609968</c:v>
                </c:pt>
                <c:pt idx="13">
                  <c:v>212.89749443938217</c:v>
                </c:pt>
                <c:pt idx="14">
                  <c:v>206.22109087266466</c:v>
                </c:pt>
                <c:pt idx="15">
                  <c:v>199.55442420610814</c:v>
                </c:pt>
                <c:pt idx="16">
                  <c:v>192.88775753955161</c:v>
                </c:pt>
                <c:pt idx="17">
                  <c:v>186.23082777313707</c:v>
                </c:pt>
                <c:pt idx="18">
                  <c:v>179.57389800672252</c:v>
                </c:pt>
                <c:pt idx="19">
                  <c:v>172.92627959117306</c:v>
                </c:pt>
                <c:pt idx="20">
                  <c:v>166.2786611756236</c:v>
                </c:pt>
                <c:pt idx="21">
                  <c:v>159.63952161095227</c:v>
                </c:pt>
                <c:pt idx="22">
                  <c:v>153.00038204628092</c:v>
                </c:pt>
                <c:pt idx="23">
                  <c:v>146.3685182660364</c:v>
                </c:pt>
                <c:pt idx="24">
                  <c:v>139.73665448579186</c:v>
                </c:pt>
                <c:pt idx="25">
                  <c:v>133.11054543683622</c:v>
                </c:pt>
                <c:pt idx="26">
                  <c:v>126.48443638788059</c:v>
                </c:pt>
                <c:pt idx="27">
                  <c:v>119.86230950770994</c:v>
                </c:pt>
                <c:pt idx="28">
                  <c:v>113.24018262753927</c:v>
                </c:pt>
                <c:pt idx="29">
                  <c:v>106.62009131376963</c:v>
                </c:pt>
                <c:pt idx="30" formatCode="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82-437F-91F1-0DCF1C68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Лист2!$F$13:$AJ$13</c:f>
              <c:numCache>
                <c:formatCode>0.000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71-45A1-B68A-139DBE4D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10176"/>
        <c:axId val="224611712"/>
      </c:scatterChart>
      <c:valAx>
        <c:axId val="2246101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611712"/>
        <c:crosses val="autoZero"/>
        <c:crossBetween val="midCat"/>
      </c:valAx>
      <c:valAx>
        <c:axId val="224611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61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Лист3!$F$12:$AJ$12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Лист3!$F$13:$AJ$13</c:f>
              <c:numCache>
                <c:formatCode>0.000</c:formatCode>
                <c:ptCount val="31"/>
                <c:pt idx="0">
                  <c:v>29.661999197871289</c:v>
                </c:pt>
                <c:pt idx="1">
                  <c:v>29.296781806566941</c:v>
                </c:pt>
                <c:pt idx="2">
                  <c:v>28.935233895675822</c:v>
                </c:pt>
                <c:pt idx="3">
                  <c:v>28.57734500133509</c:v>
                </c:pt>
                <c:pt idx="4">
                  <c:v>28.223094474061632</c:v>
                </c:pt>
                <c:pt idx="5">
                  <c:v>27.872451042938547</c:v>
                </c:pt>
                <c:pt idx="6">
                  <c:v>27.525373638766656</c:v>
                </c:pt>
                <c:pt idx="7">
                  <c:v>27.181810544127231</c:v>
                </c:pt>
                <c:pt idx="8">
                  <c:v>26.841700727225529</c:v>
                </c:pt>
                <c:pt idx="9">
                  <c:v>26.504972620206598</c:v>
                </c:pt>
                <c:pt idx="10">
                  <c:v>26.171545908345795</c:v>
                </c:pt>
                <c:pt idx="11">
                  <c:v>25.84132999772142</c:v>
                </c:pt>
                <c:pt idx="12">
                  <c:v>25.514226185724361</c:v>
                </c:pt>
                <c:pt idx="13">
                  <c:v>25.190125895089981</c:v>
                </c:pt>
                <c:pt idx="14">
                  <c:v>24.868913136284426</c:v>
                </c:pt>
                <c:pt idx="15">
                  <c:v>24.550462597229068</c:v>
                </c:pt>
                <c:pt idx="16">
                  <c:v>24.23464229665047</c:v>
                </c:pt>
                <c:pt idx="17">
                  <c:v>23.921311627016443</c:v>
                </c:pt>
                <c:pt idx="18">
                  <c:v>23.610324090909334</c:v>
                </c:pt>
                <c:pt idx="19">
                  <c:v>23.301525398344417</c:v>
                </c:pt>
                <c:pt idx="20">
                  <c:v>22.994756175941333</c:v>
                </c:pt>
                <c:pt idx="21">
                  <c:v>22.689850218730903</c:v>
                </c:pt>
                <c:pt idx="22">
                  <c:v>22.386637064443796</c:v>
                </c:pt>
                <c:pt idx="23">
                  <c:v>22.084940494163121</c:v>
                </c:pt>
                <c:pt idx="24">
                  <c:v>21.784580871292931</c:v>
                </c:pt>
                <c:pt idx="25">
                  <c:v>21.485373975227027</c:v>
                </c:pt>
                <c:pt idx="26">
                  <c:v>21.187133016162292</c:v>
                </c:pt>
                <c:pt idx="27">
                  <c:v>20.889667871777267</c:v>
                </c:pt>
                <c:pt idx="28">
                  <c:v>20.592786704481462</c:v>
                </c:pt>
                <c:pt idx="29">
                  <c:v>20.296295653561259</c:v>
                </c:pt>
                <c:pt idx="30" formatCode="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71-45A1-B68A-139DBE4D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600"/>
        <c:axId val="130024192"/>
      </c:scatterChart>
      <c:valAx>
        <c:axId val="1000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30024192"/>
        <c:crosses val="autoZero"/>
        <c:crossBetween val="midCat"/>
      </c:valAx>
      <c:valAx>
        <c:axId val="130024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000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Лист4!$F$12:$AJ$12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Лист4!$F$13:$AJ$13</c:f>
              <c:numCache>
                <c:formatCode>0.000</c:formatCode>
                <c:ptCount val="31"/>
                <c:pt idx="0">
                  <c:v>300</c:v>
                </c:pt>
                <c:pt idx="1">
                  <c:v>125.98510031199007</c:v>
                </c:pt>
                <c:pt idx="2">
                  <c:v>48.029799376019895</c:v>
                </c:pt>
                <c:pt idx="3">
                  <c:v>18.59001827905394</c:v>
                </c:pt>
                <c:pt idx="4">
                  <c:v>7.2128994012468883</c:v>
                </c:pt>
                <c:pt idx="5">
                  <c:v>2.7997196416876764</c:v>
                </c:pt>
                <c:pt idx="6">
                  <c:v>1.0867960305041822</c:v>
                </c:pt>
                <c:pt idx="7">
                  <c:v>0.42187744356895224</c:v>
                </c:pt>
                <c:pt idx="8">
                  <c:v>0.16376660834132173</c:v>
                </c:pt>
                <c:pt idx="9">
                  <c:v>6.3571803719579822E-2</c:v>
                </c:pt>
                <c:pt idx="10">
                  <c:v>2.4677646249006716E-2</c:v>
                </c:pt>
                <c:pt idx="11">
                  <c:v>9.579502133585955E-3</c:v>
                </c:pt>
                <c:pt idx="12">
                  <c:v>3.7186229320738942E-3</c:v>
                </c:pt>
                <c:pt idx="13">
                  <c:v>1.4435151557533846E-3</c:v>
                </c:pt>
                <c:pt idx="14">
                  <c:v>5.603515176936404E-4</c:v>
                </c:pt>
                <c:pt idx="15">
                  <c:v>2.1752028464263123E-4</c:v>
                </c:pt>
                <c:pt idx="16">
                  <c:v>8.4438176269057422E-5</c:v>
                </c:pt>
                <c:pt idx="17">
                  <c:v>3.2777874215581397E-5</c:v>
                </c:pt>
                <c:pt idx="18">
                  <c:v>1.2722111431858111E-5</c:v>
                </c:pt>
                <c:pt idx="19">
                  <c:v>4.9539055694919282E-6</c:v>
                </c:pt>
                <c:pt idx="20">
                  <c:v>1.7904334329612879E-6</c:v>
                </c:pt>
                <c:pt idx="21">
                  <c:v>1.8391745589065234E-6</c:v>
                </c:pt>
                <c:pt idx="22">
                  <c:v>-9.1584970507431204E-6</c:v>
                </c:pt>
                <c:pt idx="23">
                  <c:v>8.1630008433065704E-5</c:v>
                </c:pt>
                <c:pt idx="24">
                  <c:v>-7.0334049029115381E-4</c:v>
                </c:pt>
                <c:pt idx="25">
                  <c:v>6.0692282442399298E-3</c:v>
                </c:pt>
                <c:pt idx="26">
                  <c:v>-5.2368720820943904E-2</c:v>
                </c:pt>
                <c:pt idx="27">
                  <c:v>0.45186820289118668</c:v>
                </c:pt>
                <c:pt idx="28">
                  <c:v>-3.8989847689813057</c:v>
                </c:pt>
                <c:pt idx="29">
                  <c:v>33.642735260059268</c:v>
                </c:pt>
                <c:pt idx="30" formatCode="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71-45A1-B68A-139DBE4D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41024"/>
        <c:axId val="157442816"/>
      </c:scatterChart>
      <c:valAx>
        <c:axId val="157441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57442816"/>
        <c:crosses val="autoZero"/>
        <c:crossBetween val="midCat"/>
      </c:valAx>
      <c:valAx>
        <c:axId val="157442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5744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274955</xdr:colOff>
      <xdr:row>16</xdr:row>
      <xdr:rowOff>54610</xdr:rowOff>
    </xdr:from>
    <xdr:to>
      <xdr:col>24</xdr:col>
      <xdr:colOff>511175</xdr:colOff>
      <xdr:row>50</xdr:row>
      <xdr:rowOff>6350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314325</xdr:colOff>
      <xdr:row>16</xdr:row>
      <xdr:rowOff>108587</xdr:rowOff>
    </xdr:from>
    <xdr:ext cx="5429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9363075" y="3362962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9363075" y="3362962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23</xdr:col>
      <xdr:colOff>355599</xdr:colOff>
      <xdr:row>48</xdr:row>
      <xdr:rowOff>1</xdr:rowOff>
    </xdr:from>
    <xdr:ext cx="7334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4230349" y="9350376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4230349" y="9350376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259080</xdr:colOff>
      <xdr:row>17</xdr:row>
      <xdr:rowOff>22860</xdr:rowOff>
    </xdr:from>
    <xdr:to>
      <xdr:col>24</xdr:col>
      <xdr:colOff>3175</xdr:colOff>
      <xdr:row>50</xdr:row>
      <xdr:rowOff>165100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298450</xdr:colOff>
      <xdr:row>17</xdr:row>
      <xdr:rowOff>76837</xdr:rowOff>
    </xdr:from>
    <xdr:ext cx="5429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8966200" y="3521712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8966200" y="3521712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22</xdr:col>
      <xdr:colOff>450849</xdr:colOff>
      <xdr:row>48</xdr:row>
      <xdr:rowOff>158751</xdr:rowOff>
    </xdr:from>
    <xdr:ext cx="7334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3944599" y="9509126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3944599" y="9509126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5080</xdr:colOff>
      <xdr:row>16</xdr:row>
      <xdr:rowOff>181610</xdr:rowOff>
    </xdr:from>
    <xdr:to>
      <xdr:col>24</xdr:col>
      <xdr:colOff>352425</xdr:colOff>
      <xdr:row>50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44450</xdr:colOff>
      <xdr:row>17</xdr:row>
      <xdr:rowOff>45087</xdr:rowOff>
    </xdr:from>
    <xdr:ext cx="5429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9315450" y="353758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9315450" y="353758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23</xdr:col>
      <xdr:colOff>196849</xdr:colOff>
      <xdr:row>48</xdr:row>
      <xdr:rowOff>127001</xdr:rowOff>
    </xdr:from>
    <xdr:ext cx="7334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4293849" y="952500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4293849" y="952500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52705</xdr:colOff>
      <xdr:row>21</xdr:row>
      <xdr:rowOff>102235</xdr:rowOff>
    </xdr:from>
    <xdr:to>
      <xdr:col>23</xdr:col>
      <xdr:colOff>447675</xdr:colOff>
      <xdr:row>55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92075</xdr:colOff>
      <xdr:row>21</xdr:row>
      <xdr:rowOff>156212</xdr:rowOff>
    </xdr:from>
    <xdr:ext cx="5429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1728450" y="4474212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1728450" y="4474212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22</xdr:col>
      <xdr:colOff>180974</xdr:colOff>
      <xdr:row>54</xdr:row>
      <xdr:rowOff>31751</xdr:rowOff>
    </xdr:from>
    <xdr:ext cx="7334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9072224" y="1063625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9072224" y="1063625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15"/>
  <sheetViews>
    <sheetView tabSelected="1" topLeftCell="B1" zoomScale="60" zoomScaleNormal="60" workbookViewId="0">
      <selection activeCell="AJ14" sqref="AJ14"/>
    </sheetView>
  </sheetViews>
  <sheetFormatPr defaultRowHeight="15" x14ac:dyDescent="0.25"/>
  <sheetData>
    <row r="1" spans="1:36" x14ac:dyDescent="0.25"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</row>
    <row r="2" spans="1:36" ht="15.75" thickBot="1" x14ac:dyDescent="0.3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1:36" ht="16.5" thickTop="1" thickBot="1" x14ac:dyDescent="0.3">
      <c r="B3" s="2" t="s">
        <v>0</v>
      </c>
      <c r="C3" s="3">
        <v>0.1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</row>
    <row r="4" spans="1:36" ht="16.5" thickTop="1" thickBot="1" x14ac:dyDescent="0.3">
      <c r="B4" s="2" t="s">
        <v>1</v>
      </c>
      <c r="C4" s="4">
        <f>C3/30</f>
        <v>3.3333333333333335E-3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</row>
    <row r="5" spans="1:36" ht="16.5" thickTop="1" thickBot="1" x14ac:dyDescent="0.3">
      <c r="B5" s="2" t="s">
        <v>2</v>
      </c>
      <c r="C5" s="4">
        <f>(C9*C8*C4^2)/(2*C10)</f>
        <v>0.4333333333333334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</row>
    <row r="6" spans="1:36" ht="16.5" thickTop="1" thickBot="1" x14ac:dyDescent="0.3">
      <c r="B6" s="2" t="s">
        <v>3</v>
      </c>
      <c r="C6" s="5">
        <v>500</v>
      </c>
      <c r="D6" s="11">
        <v>500.06666666666672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</row>
    <row r="7" spans="1:36" ht="16.5" thickTop="1" thickBot="1" x14ac:dyDescent="0.3">
      <c r="A7" s="1"/>
      <c r="B7" s="6"/>
      <c r="C7" s="6"/>
      <c r="D7" s="8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</row>
    <row r="8" spans="1:36" ht="16.5" thickTop="1" thickBot="1" x14ac:dyDescent="0.3">
      <c r="B8" s="2" t="s">
        <v>4</v>
      </c>
      <c r="C8" s="5">
        <v>460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</row>
    <row r="9" spans="1:36" ht="16.5" thickTop="1" thickBot="1" x14ac:dyDescent="0.3">
      <c r="B9" s="2" t="s">
        <v>5</v>
      </c>
      <c r="C9" s="5">
        <v>7800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</row>
    <row r="10" spans="1:36" ht="16.5" thickTop="1" thickBot="1" x14ac:dyDescent="0.3">
      <c r="B10" s="2" t="s">
        <v>6</v>
      </c>
      <c r="C10" s="5">
        <v>46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36" ht="16.5" thickTop="1" thickBot="1" x14ac:dyDescent="0.3">
      <c r="A11" s="1"/>
      <c r="B11" s="6"/>
      <c r="C11" s="6"/>
      <c r="D11" s="8"/>
      <c r="E11" s="11"/>
      <c r="F11" s="12">
        <v>1</v>
      </c>
      <c r="G11" s="12">
        <v>2</v>
      </c>
      <c r="H11" s="12">
        <v>3</v>
      </c>
      <c r="I11" s="12">
        <v>4</v>
      </c>
      <c r="J11" s="12">
        <v>5</v>
      </c>
      <c r="K11" s="12">
        <v>6</v>
      </c>
      <c r="L11" s="12">
        <v>7</v>
      </c>
      <c r="M11" s="12">
        <v>8</v>
      </c>
      <c r="N11" s="12">
        <v>9</v>
      </c>
      <c r="O11" s="12">
        <v>10</v>
      </c>
      <c r="P11" s="12">
        <v>11</v>
      </c>
      <c r="Q11" s="12">
        <v>12</v>
      </c>
      <c r="R11" s="12">
        <v>13</v>
      </c>
      <c r="S11" s="12">
        <v>14</v>
      </c>
      <c r="T11" s="12">
        <v>15</v>
      </c>
      <c r="U11" s="12">
        <v>16</v>
      </c>
      <c r="V11" s="12">
        <v>17</v>
      </c>
      <c r="W11" s="12">
        <v>18</v>
      </c>
      <c r="X11" s="12">
        <v>19</v>
      </c>
      <c r="Y11" s="12">
        <v>20</v>
      </c>
      <c r="Z11" s="12">
        <v>21</v>
      </c>
      <c r="AA11" s="12">
        <v>22</v>
      </c>
      <c r="AB11" s="12">
        <v>23</v>
      </c>
      <c r="AC11" s="12">
        <v>24</v>
      </c>
      <c r="AD11" s="12">
        <v>25</v>
      </c>
      <c r="AE11" s="12">
        <v>26</v>
      </c>
      <c r="AF11" s="12">
        <v>27</v>
      </c>
      <c r="AG11" s="12">
        <v>28</v>
      </c>
      <c r="AH11" s="12">
        <v>29</v>
      </c>
      <c r="AI11" s="12">
        <v>30</v>
      </c>
      <c r="AJ11" s="12">
        <v>31</v>
      </c>
    </row>
    <row r="12" spans="1:36" ht="16.5" thickTop="1" thickBot="1" x14ac:dyDescent="0.3">
      <c r="B12" s="2" t="s">
        <v>7</v>
      </c>
      <c r="C12" s="5">
        <v>300</v>
      </c>
      <c r="D12" s="11"/>
      <c r="E12" s="11" t="s">
        <v>0</v>
      </c>
      <c r="F12" s="13">
        <v>0</v>
      </c>
      <c r="G12" s="13">
        <f>F12+$C$4</f>
        <v>3.3333333333333335E-3</v>
      </c>
      <c r="H12" s="13">
        <f t="shared" ref="H12:AJ12" si="0">G12+$C$4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13">
        <f t="shared" si="0"/>
        <v>9.9999999999999936E-2</v>
      </c>
    </row>
    <row r="13" spans="1:36" ht="16.5" thickTop="1" thickBot="1" x14ac:dyDescent="0.3">
      <c r="B13" s="2" t="s">
        <v>8</v>
      </c>
      <c r="C13" s="5">
        <v>100</v>
      </c>
      <c r="D13" s="11"/>
      <c r="E13" s="11" t="s">
        <v>9</v>
      </c>
      <c r="F13" s="15">
        <f>C12</f>
        <v>300</v>
      </c>
      <c r="G13" s="16">
        <v>293.28675798022084</v>
      </c>
      <c r="H13" s="16">
        <v>286.57351596044163</v>
      </c>
      <c r="I13" s="16">
        <v>279.86230950710069</v>
      </c>
      <c r="J13" s="16">
        <v>273.15110305375981</v>
      </c>
      <c r="K13" s="16">
        <v>266.44387876927192</v>
      </c>
      <c r="L13" s="16">
        <v>259.73665448478408</v>
      </c>
      <c r="M13" s="16">
        <v>253.03518493167226</v>
      </c>
      <c r="N13" s="16">
        <v>246.33371537856041</v>
      </c>
      <c r="O13" s="16">
        <v>239.63952160996649</v>
      </c>
      <c r="P13" s="16">
        <v>232.9453278413726</v>
      </c>
      <c r="Q13" s="16">
        <v>226.25961292373614</v>
      </c>
      <c r="R13" s="16">
        <v>219.57389800609968</v>
      </c>
      <c r="S13" s="16">
        <v>212.89749443938217</v>
      </c>
      <c r="T13" s="16">
        <v>206.22109087266466</v>
      </c>
      <c r="U13" s="16">
        <v>199.55442420610814</v>
      </c>
      <c r="V13" s="16">
        <v>192.88775753955161</v>
      </c>
      <c r="W13" s="16">
        <v>186.23082777313707</v>
      </c>
      <c r="X13" s="16">
        <v>179.57389800672252</v>
      </c>
      <c r="Y13" s="16">
        <v>172.92627959117306</v>
      </c>
      <c r="Z13" s="16">
        <v>166.2786611756236</v>
      </c>
      <c r="AA13" s="16">
        <v>159.63952161095227</v>
      </c>
      <c r="AB13" s="16">
        <v>153.00038204628092</v>
      </c>
      <c r="AC13" s="16">
        <v>146.3685182660364</v>
      </c>
      <c r="AD13" s="16">
        <v>139.73665448579186</v>
      </c>
      <c r="AE13" s="16">
        <v>133.11054543683622</v>
      </c>
      <c r="AF13" s="16">
        <v>126.48443638788059</v>
      </c>
      <c r="AG13" s="16">
        <v>119.86230950770994</v>
      </c>
      <c r="AH13" s="16">
        <v>113.24018262753927</v>
      </c>
      <c r="AI13" s="16">
        <v>106.62009131376963</v>
      </c>
      <c r="AJ13" s="15">
        <f>C13</f>
        <v>100</v>
      </c>
    </row>
    <row r="14" spans="1:36" ht="15.75" thickTop="1" x14ac:dyDescent="0.25">
      <c r="B14" s="11"/>
      <c r="C14" s="11"/>
      <c r="D14" s="11"/>
      <c r="E14" s="11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</row>
    <row r="15" spans="1:36" x14ac:dyDescent="0.25">
      <c r="B15" s="11"/>
      <c r="C15" s="11"/>
      <c r="D15" s="11"/>
      <c r="E15" s="11" t="s">
        <v>10</v>
      </c>
      <c r="F15" s="16"/>
      <c r="G15" s="16">
        <f t="shared" ref="G15:AI15" si="1">G13+(($C$10*$C$5)/($C$9*$C$8))*((H13-2*G13+F13)/($C$4^2))</f>
        <v>293.28675798022084</v>
      </c>
      <c r="H15" s="16">
        <f t="shared" si="1"/>
        <v>286.57453374366077</v>
      </c>
      <c r="I15" s="16">
        <f t="shared" si="1"/>
        <v>279.86230950710069</v>
      </c>
      <c r="J15" s="16">
        <f t="shared" si="1"/>
        <v>273.1530941381863</v>
      </c>
      <c r="K15" s="16">
        <f t="shared" si="1"/>
        <v>266.44387876927192</v>
      </c>
      <c r="L15" s="16">
        <f t="shared" si="1"/>
        <v>259.73953185047208</v>
      </c>
      <c r="M15" s="16">
        <f t="shared" si="1"/>
        <v>253.03518493167223</v>
      </c>
      <c r="N15" s="16">
        <f t="shared" si="1"/>
        <v>246.33735327081939</v>
      </c>
      <c r="O15" s="16">
        <f t="shared" si="1"/>
        <v>239.63952160996649</v>
      </c>
      <c r="P15" s="16">
        <f t="shared" si="1"/>
        <v>232.94956726685132</v>
      </c>
      <c r="Q15" s="16">
        <f t="shared" si="1"/>
        <v>226.25961292373614</v>
      </c>
      <c r="R15" s="16">
        <f t="shared" si="1"/>
        <v>219.57855368155916</v>
      </c>
      <c r="S15" s="16">
        <f t="shared" si="1"/>
        <v>212.89749443938217</v>
      </c>
      <c r="T15" s="16">
        <f t="shared" si="1"/>
        <v>206.22595932274515</v>
      </c>
      <c r="U15" s="16">
        <f t="shared" si="1"/>
        <v>199.55442420610814</v>
      </c>
      <c r="V15" s="16">
        <f t="shared" si="1"/>
        <v>192.89262598962262</v>
      </c>
      <c r="W15" s="16">
        <f t="shared" si="1"/>
        <v>186.23082777313707</v>
      </c>
      <c r="X15" s="16">
        <f t="shared" si="1"/>
        <v>179.57855368215507</v>
      </c>
      <c r="Y15" s="16">
        <f t="shared" si="1"/>
        <v>172.92627959117306</v>
      </c>
      <c r="Z15" s="16">
        <f t="shared" si="1"/>
        <v>166.28290060106266</v>
      </c>
      <c r="AA15" s="16">
        <f t="shared" si="1"/>
        <v>159.63952161095227</v>
      </c>
      <c r="AB15" s="16">
        <f t="shared" si="1"/>
        <v>153.00401993849434</v>
      </c>
      <c r="AC15" s="16">
        <f t="shared" si="1"/>
        <v>146.3685182660364</v>
      </c>
      <c r="AD15" s="16">
        <f t="shared" si="1"/>
        <v>139.73953185143631</v>
      </c>
      <c r="AE15" s="16">
        <f t="shared" si="1"/>
        <v>133.11054543683622</v>
      </c>
      <c r="AF15" s="16">
        <f t="shared" si="1"/>
        <v>126.48642747227308</v>
      </c>
      <c r="AG15" s="16">
        <f t="shared" si="1"/>
        <v>119.86230950770994</v>
      </c>
      <c r="AH15" s="16">
        <f t="shared" si="1"/>
        <v>113.24120041073979</v>
      </c>
      <c r="AI15" s="16">
        <f t="shared" si="1"/>
        <v>106.62009131376963</v>
      </c>
      <c r="AJ15" s="16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AJ52"/>
  <sheetViews>
    <sheetView zoomScale="60" zoomScaleNormal="60" workbookViewId="0">
      <selection sqref="A1:AJ16"/>
    </sheetView>
  </sheetViews>
  <sheetFormatPr defaultRowHeight="15" x14ac:dyDescent="0.25"/>
  <cols>
    <col min="6" max="7" width="10.7109375" bestFit="1" customWidth="1"/>
  </cols>
  <sheetData>
    <row r="1" spans="1:3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</row>
    <row r="2" spans="1:36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1:36" ht="16.5" thickTop="1" thickBot="1" x14ac:dyDescent="0.3">
      <c r="A3" s="11"/>
      <c r="B3" s="2" t="s">
        <v>0</v>
      </c>
      <c r="C3" s="3">
        <v>0.1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</row>
    <row r="4" spans="1:36" ht="16.5" thickTop="1" thickBot="1" x14ac:dyDescent="0.3">
      <c r="A4" s="11"/>
      <c r="B4" s="2" t="s">
        <v>1</v>
      </c>
      <c r="C4" s="4">
        <f>C3/30</f>
        <v>3.3333333333333335E-3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</row>
    <row r="5" spans="1:36" ht="16.5" thickTop="1" thickBot="1" x14ac:dyDescent="0.3">
      <c r="A5" s="11"/>
      <c r="B5" s="2" t="s">
        <v>2</v>
      </c>
      <c r="C5" s="4">
        <f>(C9*C8*C4^2)/(2*C10)</f>
        <v>0.4333333333333334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</row>
    <row r="6" spans="1:36" ht="16.5" thickTop="1" thickBot="1" x14ac:dyDescent="0.3">
      <c r="A6" s="11"/>
      <c r="B6" s="2" t="s">
        <v>3</v>
      </c>
      <c r="C6" s="5">
        <v>5000</v>
      </c>
      <c r="D6" s="11">
        <v>5000.2333333333345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</row>
    <row r="7" spans="1:36" ht="16.5" thickTop="1" thickBot="1" x14ac:dyDescent="0.3">
      <c r="A7" s="8"/>
      <c r="B7" s="6"/>
      <c r="C7" s="6"/>
      <c r="D7" s="8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</row>
    <row r="8" spans="1:36" ht="16.5" thickTop="1" thickBot="1" x14ac:dyDescent="0.3">
      <c r="A8" s="11"/>
      <c r="B8" s="2" t="s">
        <v>4</v>
      </c>
      <c r="C8" s="5">
        <v>460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</row>
    <row r="9" spans="1:36" ht="16.5" thickTop="1" thickBot="1" x14ac:dyDescent="0.3">
      <c r="A9" s="11"/>
      <c r="B9" s="2" t="s">
        <v>5</v>
      </c>
      <c r="C9" s="5">
        <v>7800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</row>
    <row r="10" spans="1:36" ht="16.5" thickTop="1" thickBot="1" x14ac:dyDescent="0.3">
      <c r="A10" s="11"/>
      <c r="B10" s="2" t="s">
        <v>6</v>
      </c>
      <c r="C10" s="5">
        <v>46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36" ht="16.5" thickTop="1" thickBot="1" x14ac:dyDescent="0.3">
      <c r="A11" s="8"/>
      <c r="B11" s="6"/>
      <c r="C11" s="6"/>
      <c r="D11" s="8"/>
      <c r="E11" s="11"/>
      <c r="F11" s="12">
        <v>1</v>
      </c>
      <c r="G11" s="12">
        <v>2</v>
      </c>
      <c r="H11" s="12">
        <v>3</v>
      </c>
      <c r="I11" s="12">
        <v>4</v>
      </c>
      <c r="J11" s="12">
        <v>5</v>
      </c>
      <c r="K11" s="12">
        <v>6</v>
      </c>
      <c r="L11" s="12">
        <v>7</v>
      </c>
      <c r="M11" s="12">
        <v>8</v>
      </c>
      <c r="N11" s="12">
        <v>9</v>
      </c>
      <c r="O11" s="12">
        <v>10</v>
      </c>
      <c r="P11" s="12">
        <v>11</v>
      </c>
      <c r="Q11" s="12">
        <v>12</v>
      </c>
      <c r="R11" s="12">
        <v>13</v>
      </c>
      <c r="S11" s="12">
        <v>14</v>
      </c>
      <c r="T11" s="12">
        <v>15</v>
      </c>
      <c r="U11" s="12">
        <v>16</v>
      </c>
      <c r="V11" s="12">
        <v>17</v>
      </c>
      <c r="W11" s="12">
        <v>18</v>
      </c>
      <c r="X11" s="12">
        <v>19</v>
      </c>
      <c r="Y11" s="12">
        <v>20</v>
      </c>
      <c r="Z11" s="12">
        <v>21</v>
      </c>
      <c r="AA11" s="12">
        <v>22</v>
      </c>
      <c r="AB11" s="12">
        <v>23</v>
      </c>
      <c r="AC11" s="12">
        <v>24</v>
      </c>
      <c r="AD11" s="12">
        <v>25</v>
      </c>
      <c r="AE11" s="12">
        <v>26</v>
      </c>
      <c r="AF11" s="12">
        <v>27</v>
      </c>
      <c r="AG11" s="12">
        <v>28</v>
      </c>
      <c r="AH11" s="12">
        <v>29</v>
      </c>
      <c r="AI11" s="12">
        <v>30</v>
      </c>
      <c r="AJ11" s="12">
        <v>31</v>
      </c>
    </row>
    <row r="12" spans="1:36" ht="16.5" thickTop="1" thickBot="1" x14ac:dyDescent="0.3">
      <c r="A12" s="11"/>
      <c r="B12" s="2" t="s">
        <v>11</v>
      </c>
      <c r="C12" s="5">
        <v>92000</v>
      </c>
      <c r="D12" s="11"/>
      <c r="E12" s="11" t="s">
        <v>0</v>
      </c>
      <c r="F12" s="13">
        <v>0</v>
      </c>
      <c r="G12" s="13">
        <f>F12+$C$4</f>
        <v>3.3333333333333335E-3</v>
      </c>
      <c r="H12" s="13">
        <f t="shared" ref="H12:AJ12" si="0">G12+$C$4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13">
        <f t="shared" si="0"/>
        <v>9.9999999999999936E-2</v>
      </c>
    </row>
    <row r="13" spans="1:36" ht="16.5" thickTop="1" thickBot="1" x14ac:dyDescent="0.3">
      <c r="A13" s="11"/>
      <c r="B13" s="2" t="s">
        <v>8</v>
      </c>
      <c r="C13" s="5">
        <v>100</v>
      </c>
      <c r="D13" s="11"/>
      <c r="E13" s="11" t="s">
        <v>9</v>
      </c>
      <c r="F13" s="14">
        <f>(F16/C10)*C4+G13</f>
        <v>299.99997763108735</v>
      </c>
      <c r="G13" s="14">
        <v>293.33331096442066</v>
      </c>
      <c r="H13" s="14">
        <v>286.6666443611611</v>
      </c>
      <c r="I13" s="14">
        <v>279.99997782112894</v>
      </c>
      <c r="J13" s="14">
        <v>273.33331134396514</v>
      </c>
      <c r="K13" s="14">
        <v>266.66664492913264</v>
      </c>
      <c r="L13" s="14">
        <v>259.99997857591751</v>
      </c>
      <c r="M13" s="14">
        <v>253.3333122834313</v>
      </c>
      <c r="N13" s="14">
        <v>246.66664605061328</v>
      </c>
      <c r="O13" s="14">
        <v>239.99997987623377</v>
      </c>
      <c r="P13" s="14">
        <v>233.33331375889719</v>
      </c>
      <c r="Q13" s="14">
        <v>226.66664769704656</v>
      </c>
      <c r="R13" s="14">
        <v>219.9999816889673</v>
      </c>
      <c r="S13" s="14">
        <v>213.33331573279273</v>
      </c>
      <c r="T13" s="14">
        <v>206.66664982650872</v>
      </c>
      <c r="U13" s="14">
        <v>199.99998396796005</v>
      </c>
      <c r="V13" s="14">
        <v>193.33331815485587</v>
      </c>
      <c r="W13" s="14">
        <v>186.6666523847768</v>
      </c>
      <c r="X13" s="14">
        <v>179.99998665518126</v>
      </c>
      <c r="Y13" s="14">
        <v>173.33332096341309</v>
      </c>
      <c r="Z13" s="14">
        <v>166.66665530670878</v>
      </c>
      <c r="AA13" s="14">
        <v>159.9999896822055</v>
      </c>
      <c r="AB13" s="14">
        <v>153.33332408694912</v>
      </c>
      <c r="AC13" s="14">
        <v>146.66665851790265</v>
      </c>
      <c r="AD13" s="14">
        <v>139.99999297195473</v>
      </c>
      <c r="AE13" s="14">
        <v>133.33332744592857</v>
      </c>
      <c r="AF13" s="14">
        <v>126.66666193659087</v>
      </c>
      <c r="AG13" s="14">
        <v>119.99999644066111</v>
      </c>
      <c r="AH13" s="14">
        <v>113.3333309548207</v>
      </c>
      <c r="AI13" s="14">
        <v>106.66666547572241</v>
      </c>
      <c r="AJ13" s="15">
        <f>C13</f>
        <v>100</v>
      </c>
    </row>
    <row r="14" spans="1:36" ht="15.75" thickTop="1" x14ac:dyDescent="0.25">
      <c r="A14" s="11"/>
      <c r="B14" s="11"/>
      <c r="C14" s="11"/>
      <c r="D14" s="11"/>
      <c r="E14" s="11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</row>
    <row r="15" spans="1:36" x14ac:dyDescent="0.25">
      <c r="A15" s="11"/>
      <c r="B15" s="11"/>
      <c r="C15" s="11"/>
      <c r="D15" s="11"/>
      <c r="E15" s="11" t="s">
        <v>10</v>
      </c>
      <c r="F15" s="16"/>
      <c r="G15" s="16">
        <f t="shared" ref="G15:AI15" si="1">G13+(($C$10*$C$5)/($C$9*$C$8))*((H13-2*G13+F13)/($C$4^2))</f>
        <v>293.33331099612423</v>
      </c>
      <c r="H15" s="16">
        <f t="shared" si="1"/>
        <v>286.6666443927748</v>
      </c>
      <c r="I15" s="16">
        <f t="shared" si="1"/>
        <v>279.99997785256312</v>
      </c>
      <c r="J15" s="16">
        <f t="shared" si="1"/>
        <v>273.33331137513079</v>
      </c>
      <c r="K15" s="16">
        <f t="shared" si="1"/>
        <v>266.66664495994132</v>
      </c>
      <c r="L15" s="16">
        <f t="shared" si="1"/>
        <v>259.99997860628196</v>
      </c>
      <c r="M15" s="16">
        <f t="shared" si="1"/>
        <v>253.3333123132654</v>
      </c>
      <c r="N15" s="16">
        <f t="shared" si="1"/>
        <v>246.66664607983253</v>
      </c>
      <c r="O15" s="16">
        <f t="shared" si="1"/>
        <v>239.99997990475524</v>
      </c>
      <c r="P15" s="16">
        <f t="shared" si="1"/>
        <v>233.33331378664016</v>
      </c>
      <c r="Q15" s="16">
        <f t="shared" si="1"/>
        <v>226.66664772393224</v>
      </c>
      <c r="R15" s="16">
        <f t="shared" si="1"/>
        <v>219.99998171491964</v>
      </c>
      <c r="S15" s="16">
        <f t="shared" si="1"/>
        <v>213.33331575773801</v>
      </c>
      <c r="T15" s="16">
        <f t="shared" si="1"/>
        <v>206.66664985037639</v>
      </c>
      <c r="U15" s="16">
        <f t="shared" si="1"/>
        <v>199.9999839906823</v>
      </c>
      <c r="V15" s="16">
        <f t="shared" si="1"/>
        <v>193.33331817636844</v>
      </c>
      <c r="W15" s="16">
        <f t="shared" si="1"/>
        <v>186.66665240501857</v>
      </c>
      <c r="X15" s="16">
        <f t="shared" si="1"/>
        <v>179.99998667409494</v>
      </c>
      <c r="Y15" s="16">
        <f t="shared" si="1"/>
        <v>173.33332098094502</v>
      </c>
      <c r="Z15" s="16">
        <f t="shared" si="1"/>
        <v>166.66665532280928</v>
      </c>
      <c r="AA15" s="16">
        <f t="shared" si="1"/>
        <v>159.99998969682895</v>
      </c>
      <c r="AB15" s="16">
        <f t="shared" si="1"/>
        <v>153.33332410005409</v>
      </c>
      <c r="AC15" s="16">
        <f t="shared" si="1"/>
        <v>146.66665852945192</v>
      </c>
      <c r="AD15" s="16">
        <f t="shared" si="1"/>
        <v>139.99999298191563</v>
      </c>
      <c r="AE15" s="16">
        <f t="shared" si="1"/>
        <v>133.33332745427279</v>
      </c>
      <c r="AF15" s="16">
        <f t="shared" si="1"/>
        <v>126.66666194329484</v>
      </c>
      <c r="AG15" s="16">
        <f t="shared" si="1"/>
        <v>119.99999644570579</v>
      </c>
      <c r="AH15" s="16">
        <f t="shared" si="1"/>
        <v>113.33333095819177</v>
      </c>
      <c r="AI15" s="16">
        <f t="shared" si="1"/>
        <v>106.66666547741035</v>
      </c>
      <c r="AJ15" s="16"/>
    </row>
    <row r="16" spans="1:36" x14ac:dyDescent="0.25">
      <c r="A16" s="11"/>
      <c r="B16" s="11"/>
      <c r="C16" s="11"/>
      <c r="D16" s="11"/>
      <c r="E16" s="16" t="s">
        <v>12</v>
      </c>
      <c r="F16" s="11">
        <v>92000</v>
      </c>
      <c r="G16" s="11">
        <f>-$C$10*((G13-F13)/$C$4)</f>
        <v>92000.000000000247</v>
      </c>
      <c r="H16" s="11">
        <f t="shared" ref="H16:AI16" si="2">-$C$10*((H13-G13)/$C$4)</f>
        <v>91999.999124981885</v>
      </c>
      <c r="I16" s="11">
        <f t="shared" si="2"/>
        <v>91999.998252443896</v>
      </c>
      <c r="J16" s="11">
        <f t="shared" si="2"/>
        <v>91999.997384860442</v>
      </c>
      <c r="K16" s="11">
        <f t="shared" si="2"/>
        <v>91999.996524688366</v>
      </c>
      <c r="L16" s="11">
        <f t="shared" si="2"/>
        <v>91999.995674368853</v>
      </c>
      <c r="M16" s="11">
        <f t="shared" si="2"/>
        <v>91999.994836309721</v>
      </c>
      <c r="N16" s="11">
        <f t="shared" si="2"/>
        <v>91999.994012888623</v>
      </c>
      <c r="O16" s="11">
        <f t="shared" si="2"/>
        <v>91999.993206437299</v>
      </c>
      <c r="P16" s="11">
        <f t="shared" si="2"/>
        <v>91999.992419244736</v>
      </c>
      <c r="Q16" s="11">
        <f t="shared" si="2"/>
        <v>91999.991653538746</v>
      </c>
      <c r="R16" s="11">
        <f t="shared" si="2"/>
        <v>91999.990911493791</v>
      </c>
      <c r="S16" s="11">
        <f t="shared" si="2"/>
        <v>91999.990195209044</v>
      </c>
      <c r="T16" s="11">
        <f t="shared" si="2"/>
        <v>91999.989506719328</v>
      </c>
      <c r="U16" s="11">
        <f t="shared" si="2"/>
        <v>91999.988847971617</v>
      </c>
      <c r="V16" s="11">
        <f t="shared" si="2"/>
        <v>91999.988220837593</v>
      </c>
      <c r="W16" s="11">
        <f t="shared" si="2"/>
        <v>91999.987627091265</v>
      </c>
      <c r="X16" s="11">
        <f t="shared" si="2"/>
        <v>91999.987068418384</v>
      </c>
      <c r="Y16" s="11">
        <f t="shared" si="2"/>
        <v>91999.986546400789</v>
      </c>
      <c r="Z16" s="11">
        <f t="shared" si="2"/>
        <v>91999.986062519471</v>
      </c>
      <c r="AA16" s="11">
        <f t="shared" si="2"/>
        <v>91999.985618145278</v>
      </c>
      <c r="AB16" s="11">
        <f t="shared" si="2"/>
        <v>91999.985214537985</v>
      </c>
      <c r="AC16" s="11">
        <f t="shared" si="2"/>
        <v>91999.984852841313</v>
      </c>
      <c r="AD16" s="11">
        <f t="shared" si="2"/>
        <v>91999.984534081304</v>
      </c>
      <c r="AE16" s="11">
        <f t="shared" si="2"/>
        <v>91999.984259160876</v>
      </c>
      <c r="AF16" s="11">
        <f t="shared" si="2"/>
        <v>91999.984028860315</v>
      </c>
      <c r="AG16" s="11">
        <f t="shared" si="2"/>
        <v>91999.98384383072</v>
      </c>
      <c r="AH16" s="11">
        <f t="shared" si="2"/>
        <v>91999.983704597675</v>
      </c>
      <c r="AI16" s="11">
        <f t="shared" si="2"/>
        <v>91999.983611556323</v>
      </c>
      <c r="AJ16" s="11"/>
    </row>
    <row r="17" spans="1:36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</row>
    <row r="18" spans="1:36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</row>
    <row r="19" spans="1:36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</row>
    <row r="20" spans="1:36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</row>
    <row r="21" spans="1:36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</row>
    <row r="22" spans="1:36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</row>
    <row r="23" spans="1:36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</row>
    <row r="24" spans="1:36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</row>
    <row r="25" spans="1:36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</row>
    <row r="26" spans="1:36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</row>
    <row r="27" spans="1:36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</row>
    <row r="28" spans="1:36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</row>
    <row r="29" spans="1:36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</row>
    <row r="30" spans="1:36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</row>
    <row r="31" spans="1:36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</row>
    <row r="32" spans="1:36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</row>
    <row r="33" spans="1:36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</row>
    <row r="34" spans="1:36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</row>
    <row r="35" spans="1:36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</row>
    <row r="36" spans="1:36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</row>
    <row r="37" spans="1:36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</row>
    <row r="38" spans="1:36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</row>
    <row r="39" spans="1:36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</row>
    <row r="40" spans="1:36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</row>
    <row r="41" spans="1:36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</row>
    <row r="42" spans="1:36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</row>
    <row r="43" spans="1:36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</row>
    <row r="44" spans="1:36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</row>
    <row r="45" spans="1:36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</row>
    <row r="46" spans="1:36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</row>
    <row r="47" spans="1:36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</row>
    <row r="48" spans="1:36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</row>
    <row r="49" spans="1:36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</row>
    <row r="50" spans="1:36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</row>
    <row r="51" spans="1:36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</row>
    <row r="52" spans="1:36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AJ17"/>
  <sheetViews>
    <sheetView zoomScale="60" zoomScaleNormal="60" workbookViewId="0">
      <selection sqref="A1:AJ16"/>
    </sheetView>
  </sheetViews>
  <sheetFormatPr defaultRowHeight="15" x14ac:dyDescent="0.25"/>
  <cols>
    <col min="6" max="7" width="10.7109375" bestFit="1" customWidth="1"/>
  </cols>
  <sheetData>
    <row r="1" spans="1:3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</row>
    <row r="2" spans="1:36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1:36" ht="16.5" thickTop="1" thickBot="1" x14ac:dyDescent="0.3">
      <c r="A3" s="11"/>
      <c r="B3" s="2" t="s">
        <v>0</v>
      </c>
      <c r="C3" s="3">
        <v>0.1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</row>
    <row r="4" spans="1:36" ht="16.5" thickTop="1" thickBot="1" x14ac:dyDescent="0.3">
      <c r="A4" s="11"/>
      <c r="B4" s="2" t="s">
        <v>1</v>
      </c>
      <c r="C4" s="4">
        <f>C3/30</f>
        <v>3.3333333333333335E-3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</row>
    <row r="5" spans="1:36" ht="16.5" thickTop="1" thickBot="1" x14ac:dyDescent="0.3">
      <c r="A5" s="11"/>
      <c r="B5" s="2" t="s">
        <v>2</v>
      </c>
      <c r="C5" s="4">
        <f>(C9*C8*C4^2)/(2*C10)</f>
        <v>0.4333333333333334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</row>
    <row r="6" spans="1:36" ht="16.5" thickTop="1" thickBot="1" x14ac:dyDescent="0.3">
      <c r="A6" s="11"/>
      <c r="B6" s="2" t="s">
        <v>3</v>
      </c>
      <c r="C6" s="5">
        <v>1000</v>
      </c>
      <c r="D6" s="11">
        <v>1000.1333333333334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</row>
    <row r="7" spans="1:36" ht="16.5" thickTop="1" thickBot="1" x14ac:dyDescent="0.3">
      <c r="A7" s="8"/>
      <c r="B7" s="6"/>
      <c r="C7" s="6"/>
      <c r="D7" s="8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</row>
    <row r="8" spans="1:36" ht="16.5" thickTop="1" thickBot="1" x14ac:dyDescent="0.3">
      <c r="A8" s="11"/>
      <c r="B8" s="2" t="s">
        <v>4</v>
      </c>
      <c r="C8" s="5">
        <v>460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</row>
    <row r="9" spans="1:36" ht="16.5" thickTop="1" thickBot="1" x14ac:dyDescent="0.3">
      <c r="A9" s="11"/>
      <c r="B9" s="2" t="s">
        <v>5</v>
      </c>
      <c r="C9" s="5">
        <v>7800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</row>
    <row r="10" spans="1:36" ht="16.5" thickTop="1" thickBot="1" x14ac:dyDescent="0.3">
      <c r="A10" s="11"/>
      <c r="B10" s="2" t="s">
        <v>6</v>
      </c>
      <c r="C10" s="5">
        <v>46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36" ht="16.5" thickTop="1" thickBot="1" x14ac:dyDescent="0.3">
      <c r="A11" s="8"/>
      <c r="B11" s="6"/>
      <c r="C11" s="6"/>
      <c r="D11" s="8"/>
      <c r="E11" s="11"/>
      <c r="F11" s="12">
        <v>1</v>
      </c>
      <c r="G11" s="12">
        <v>2</v>
      </c>
      <c r="H11" s="12">
        <v>3</v>
      </c>
      <c r="I11" s="12">
        <v>4</v>
      </c>
      <c r="J11" s="12">
        <v>5</v>
      </c>
      <c r="K11" s="12">
        <v>6</v>
      </c>
      <c r="L11" s="12">
        <v>7</v>
      </c>
      <c r="M11" s="12">
        <v>8</v>
      </c>
      <c r="N11" s="12">
        <v>9</v>
      </c>
      <c r="O11" s="12">
        <v>10</v>
      </c>
      <c r="P11" s="12">
        <v>11</v>
      </c>
      <c r="Q11" s="12">
        <v>12</v>
      </c>
      <c r="R11" s="12">
        <v>13</v>
      </c>
      <c r="S11" s="12">
        <v>14</v>
      </c>
      <c r="T11" s="12">
        <v>15</v>
      </c>
      <c r="U11" s="12">
        <v>16</v>
      </c>
      <c r="V11" s="12">
        <v>17</v>
      </c>
      <c r="W11" s="12">
        <v>18</v>
      </c>
      <c r="X11" s="12">
        <v>19</v>
      </c>
      <c r="Y11" s="12">
        <v>20</v>
      </c>
      <c r="Z11" s="12">
        <v>21</v>
      </c>
      <c r="AA11" s="12">
        <v>22</v>
      </c>
      <c r="AB11" s="12">
        <v>23</v>
      </c>
      <c r="AC11" s="12">
        <v>24</v>
      </c>
      <c r="AD11" s="12">
        <v>25</v>
      </c>
      <c r="AE11" s="12">
        <v>26</v>
      </c>
      <c r="AF11" s="12">
        <v>27</v>
      </c>
      <c r="AG11" s="12">
        <v>28</v>
      </c>
      <c r="AH11" s="12">
        <v>29</v>
      </c>
      <c r="AI11" s="12">
        <v>30</v>
      </c>
      <c r="AJ11" s="12">
        <v>31</v>
      </c>
    </row>
    <row r="12" spans="1:36" ht="16.5" thickTop="1" thickBot="1" x14ac:dyDescent="0.3">
      <c r="A12" s="11"/>
      <c r="B12" s="2" t="s">
        <v>11</v>
      </c>
      <c r="C12" s="5">
        <v>92000</v>
      </c>
      <c r="D12" s="11"/>
      <c r="E12" s="11" t="s">
        <v>0</v>
      </c>
      <c r="F12" s="13">
        <v>0</v>
      </c>
      <c r="G12" s="13">
        <f>F12+$C$4</f>
        <v>3.3333333333333335E-3</v>
      </c>
      <c r="H12" s="13">
        <f t="shared" ref="H12:AJ12" si="0">G12+$C$4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13">
        <f t="shared" si="0"/>
        <v>9.9999999999999936E-2</v>
      </c>
    </row>
    <row r="13" spans="1:36" ht="16.5" thickTop="1" thickBot="1" x14ac:dyDescent="0.3">
      <c r="A13" s="11"/>
      <c r="B13" s="2" t="s">
        <v>8</v>
      </c>
      <c r="C13" s="5">
        <v>100</v>
      </c>
      <c r="D13" s="11"/>
      <c r="E13" s="11" t="s">
        <v>9</v>
      </c>
      <c r="F13" s="14">
        <f>G13+($C$15*($C$13-$C$16)*$C$4)/$C$10</f>
        <v>29.661999197871289</v>
      </c>
      <c r="G13" s="14">
        <v>29.296781806566941</v>
      </c>
      <c r="H13" s="14">
        <v>28.935233895675822</v>
      </c>
      <c r="I13" s="14">
        <v>28.57734500133509</v>
      </c>
      <c r="J13" s="14">
        <v>28.223094474061632</v>
      </c>
      <c r="K13" s="14">
        <v>27.872451042938547</v>
      </c>
      <c r="L13" s="14">
        <v>27.525373638766656</v>
      </c>
      <c r="M13" s="14">
        <v>27.181810544127231</v>
      </c>
      <c r="N13" s="14">
        <v>26.841700727225529</v>
      </c>
      <c r="O13" s="14">
        <v>26.504972620206598</v>
      </c>
      <c r="P13" s="14">
        <v>26.171545908345795</v>
      </c>
      <c r="Q13" s="14">
        <v>25.84132999772142</v>
      </c>
      <c r="R13" s="14">
        <v>25.514226185724361</v>
      </c>
      <c r="S13" s="14">
        <v>25.190125895089981</v>
      </c>
      <c r="T13" s="14">
        <v>24.868913136284426</v>
      </c>
      <c r="U13" s="14">
        <v>24.550462597229068</v>
      </c>
      <c r="V13" s="14">
        <v>24.23464229665047</v>
      </c>
      <c r="W13" s="14">
        <v>23.921311627016443</v>
      </c>
      <c r="X13" s="14">
        <v>23.610324090909334</v>
      </c>
      <c r="Y13" s="14">
        <v>23.301525398344417</v>
      </c>
      <c r="Z13" s="14">
        <v>22.994756175941333</v>
      </c>
      <c r="AA13" s="14">
        <v>22.689850218730903</v>
      </c>
      <c r="AB13" s="14">
        <v>22.386637064443796</v>
      </c>
      <c r="AC13" s="14">
        <v>22.084940494163121</v>
      </c>
      <c r="AD13" s="14">
        <v>21.784580871292931</v>
      </c>
      <c r="AE13" s="14">
        <v>21.485373975227027</v>
      </c>
      <c r="AF13" s="14">
        <v>21.187133016162292</v>
      </c>
      <c r="AG13" s="14">
        <v>20.889667871777267</v>
      </c>
      <c r="AH13" s="14">
        <v>20.592786704481462</v>
      </c>
      <c r="AI13" s="14">
        <v>20.296295653561259</v>
      </c>
      <c r="AJ13" s="15">
        <v>20</v>
      </c>
    </row>
    <row r="14" spans="1:36" ht="16.5" thickTop="1" thickBot="1" x14ac:dyDescent="0.3">
      <c r="A14" s="11"/>
      <c r="B14" s="11"/>
      <c r="C14" s="11"/>
      <c r="D14" s="11"/>
      <c r="E14" s="11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</row>
    <row r="15" spans="1:36" ht="16.5" thickTop="1" thickBot="1" x14ac:dyDescent="0.3">
      <c r="A15" s="11"/>
      <c r="B15" s="7" t="s">
        <v>13</v>
      </c>
      <c r="C15" s="7">
        <v>63</v>
      </c>
      <c r="D15" s="11"/>
      <c r="E15" s="11" t="s">
        <v>10</v>
      </c>
      <c r="F15" s="16"/>
      <c r="G15" s="16">
        <f>G13+(($C$10*$C$5)/($C$9*$C$8))*((H13-2*G13+F13)/($C$4^2))</f>
        <v>29.298616546773555</v>
      </c>
      <c r="H15" s="16">
        <f t="shared" ref="H15:AI15" si="1">H13+(($C$10*$C$5)/($C$9*$C$8))*((I13-2*H13+G13)/($C$4^2))</f>
        <v>28.937063403951015</v>
      </c>
      <c r="I15" s="16">
        <f t="shared" si="1"/>
        <v>28.579164184868727</v>
      </c>
      <c r="J15" s="16">
        <f t="shared" si="1"/>
        <v>28.22489802213682</v>
      </c>
      <c r="K15" s="16">
        <f t="shared" si="1"/>
        <v>27.874234056414146</v>
      </c>
      <c r="L15" s="16">
        <f t="shared" si="1"/>
        <v>27.527130793532891</v>
      </c>
      <c r="M15" s="16">
        <f t="shared" si="1"/>
        <v>27.183537182996091</v>
      </c>
      <c r="N15" s="16">
        <f t="shared" si="1"/>
        <v>26.843391582166916</v>
      </c>
      <c r="O15" s="16">
        <f t="shared" si="1"/>
        <v>26.50662331778566</v>
      </c>
      <c r="P15" s="16">
        <f t="shared" si="1"/>
        <v>26.173151308964009</v>
      </c>
      <c r="Q15" s="16">
        <f t="shared" si="1"/>
        <v>25.84288604703508</v>
      </c>
      <c r="R15" s="16">
        <f t="shared" si="1"/>
        <v>25.515727946405701</v>
      </c>
      <c r="S15" s="16">
        <f t="shared" si="1"/>
        <v>25.191569661004394</v>
      </c>
      <c r="T15" s="16">
        <f t="shared" si="1"/>
        <v>24.870294246159524</v>
      </c>
      <c r="U15" s="16">
        <f t="shared" si="1"/>
        <v>24.551777716467448</v>
      </c>
      <c r="V15" s="16">
        <f t="shared" si="1"/>
        <v>24.235887112122754</v>
      </c>
      <c r="W15" s="16">
        <f t="shared" si="1"/>
        <v>23.922483193779904</v>
      </c>
      <c r="X15" s="16">
        <f t="shared" si="1"/>
        <v>23.61141851268043</v>
      </c>
      <c r="Y15" s="16">
        <f t="shared" si="1"/>
        <v>23.302540133425332</v>
      </c>
      <c r="Z15" s="16">
        <f t="shared" si="1"/>
        <v>22.99568780853766</v>
      </c>
      <c r="AA15" s="16">
        <f t="shared" si="1"/>
        <v>22.690696620192565</v>
      </c>
      <c r="AB15" s="16">
        <f t="shared" si="1"/>
        <v>22.387395356447012</v>
      </c>
      <c r="AC15" s="16">
        <f t="shared" si="1"/>
        <v>22.085608967868364</v>
      </c>
      <c r="AD15" s="16">
        <f t="shared" si="1"/>
        <v>21.785157234695074</v>
      </c>
      <c r="AE15" s="16">
        <f t="shared" si="1"/>
        <v>21.485856943727612</v>
      </c>
      <c r="AF15" s="16">
        <f t="shared" si="1"/>
        <v>21.187520923502149</v>
      </c>
      <c r="AG15" s="16">
        <f t="shared" si="1"/>
        <v>20.889959860321877</v>
      </c>
      <c r="AH15" s="16">
        <f t="shared" si="1"/>
        <v>20.592981762669261</v>
      </c>
      <c r="AI15" s="16">
        <f t="shared" si="1"/>
        <v>20.296393352240731</v>
      </c>
      <c r="AJ15" s="16"/>
    </row>
    <row r="16" spans="1:36" ht="16.5" thickTop="1" thickBot="1" x14ac:dyDescent="0.3">
      <c r="A16" s="11"/>
      <c r="B16" s="7" t="s">
        <v>14</v>
      </c>
      <c r="C16" s="7">
        <v>20</v>
      </c>
      <c r="D16" s="11"/>
      <c r="E16" s="16" t="s">
        <v>12</v>
      </c>
      <c r="F16" s="17">
        <f>C13-C16</f>
        <v>80</v>
      </c>
      <c r="G16" s="11">
        <f>(F13-G13)*$C$10/($C$15*$C$4)</f>
        <v>80.000000000000114</v>
      </c>
      <c r="H16" s="11">
        <f t="shared" ref="H16:AI16" si="2">(G13-H13)*$C$10/($C$15*$C$4)</f>
        <v>79.196209052340308</v>
      </c>
      <c r="I16" s="11">
        <f t="shared" si="2"/>
        <v>78.394710188922261</v>
      </c>
      <c r="J16" s="11">
        <f t="shared" si="2"/>
        <v>77.597734545614443</v>
      </c>
      <c r="K16" s="11">
        <f t="shared" si="2"/>
        <v>76.807608722199674</v>
      </c>
      <c r="L16" s="11">
        <f t="shared" si="2"/>
        <v>76.026479009080916</v>
      </c>
      <c r="M16" s="11">
        <f t="shared" si="2"/>
        <v>75.256677873397805</v>
      </c>
      <c r="N16" s="11">
        <f t="shared" si="2"/>
        <v>74.500245607039446</v>
      </c>
      <c r="O16" s="11">
        <f t="shared" si="2"/>
        <v>73.759490108908778</v>
      </c>
      <c r="P16" s="11">
        <f t="shared" si="2"/>
        <v>73.036327359985307</v>
      </c>
      <c r="Q16" s="11">
        <f t="shared" si="2"/>
        <v>72.333008993910695</v>
      </c>
      <c r="R16" s="11">
        <f t="shared" si="2"/>
        <v>71.651311199355789</v>
      </c>
      <c r="S16" s="11">
        <f t="shared" si="2"/>
        <v>70.993396996102319</v>
      </c>
      <c r="T16" s="11">
        <f t="shared" si="2"/>
        <v>70.360890024073825</v>
      </c>
      <c r="U16" s="11">
        <f t="shared" si="2"/>
        <v>69.755832364507185</v>
      </c>
      <c r="V16" s="11">
        <f t="shared" si="2"/>
        <v>69.17968488864507</v>
      </c>
      <c r="W16" s="11">
        <f t="shared" si="2"/>
        <v>68.634337157929721</v>
      </c>
      <c r="X16" s="11">
        <f t="shared" si="2"/>
        <v>68.12107933774783</v>
      </c>
      <c r="Y16" s="11">
        <f t="shared" si="2"/>
        <v>67.641618371362739</v>
      </c>
      <c r="Z16" s="11">
        <f t="shared" si="2"/>
        <v>67.19706776448497</v>
      </c>
      <c r="AA16" s="11">
        <f t="shared" si="2"/>
        <v>66.788923960379847</v>
      </c>
      <c r="AB16" s="11">
        <f t="shared" si="2"/>
        <v>66.418119510509158</v>
      </c>
      <c r="AC16" s="11">
        <f t="shared" si="2"/>
        <v>66.085915394814677</v>
      </c>
      <c r="AD16" s="11">
        <f t="shared" si="2"/>
        <v>65.793060247755776</v>
      </c>
      <c r="AE16" s="11">
        <f t="shared" si="2"/>
        <v>65.540558185864683</v>
      </c>
      <c r="AF16" s="11">
        <f t="shared" si="2"/>
        <v>65.328971985608618</v>
      </c>
      <c r="AG16" s="11">
        <f t="shared" si="2"/>
        <v>65.159031627196072</v>
      </c>
      <c r="AH16" s="11">
        <f t="shared" si="2"/>
        <v>65.031112836223883</v>
      </c>
      <c r="AI16" s="11">
        <f t="shared" si="2"/>
        <v>64.945658772996794</v>
      </c>
      <c r="AJ16" s="11"/>
    </row>
    <row r="17" ht="15.75" thickTop="1" x14ac:dyDescent="0.25"/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AJ21"/>
  <sheetViews>
    <sheetView zoomScale="55" zoomScaleNormal="55" workbookViewId="0">
      <selection activeCell="E3" sqref="E3"/>
    </sheetView>
  </sheetViews>
  <sheetFormatPr defaultRowHeight="15" x14ac:dyDescent="0.25"/>
  <cols>
    <col min="3" max="3" width="11.5703125" customWidth="1"/>
    <col min="4" max="4" width="9.28515625" bestFit="1" customWidth="1"/>
    <col min="6" max="6" width="10.85546875" bestFit="1" customWidth="1"/>
    <col min="7" max="7" width="13.85546875" customWidth="1"/>
    <col min="8" max="8" width="14.140625" customWidth="1"/>
    <col min="9" max="9" width="13.42578125" customWidth="1"/>
    <col min="10" max="10" width="15.140625" customWidth="1"/>
    <col min="11" max="11" width="12.7109375" customWidth="1"/>
    <col min="12" max="12" width="15.28515625" customWidth="1"/>
    <col min="13" max="13" width="16.28515625" customWidth="1"/>
    <col min="14" max="14" width="15.5703125" customWidth="1"/>
    <col min="15" max="15" width="12.7109375" customWidth="1"/>
    <col min="16" max="16" width="13.85546875" customWidth="1"/>
    <col min="17" max="17" width="12.42578125" customWidth="1"/>
    <col min="18" max="19" width="13.7109375" customWidth="1"/>
    <col min="20" max="20" width="13.42578125" customWidth="1"/>
    <col min="21" max="22" width="14.5703125" customWidth="1"/>
    <col min="23" max="23" width="13.7109375" customWidth="1"/>
    <col min="24" max="24" width="15.28515625" customWidth="1"/>
    <col min="25" max="25" width="15.42578125" customWidth="1"/>
    <col min="26" max="26" width="15.140625" customWidth="1"/>
    <col min="27" max="27" width="13.85546875" customWidth="1"/>
    <col min="28" max="28" width="15.140625" customWidth="1"/>
    <col min="29" max="31" width="9.28515625" bestFit="1" customWidth="1"/>
    <col min="32" max="32" width="13" bestFit="1" customWidth="1"/>
    <col min="33" max="33" width="13.42578125" bestFit="1" customWidth="1"/>
    <col min="34" max="34" width="15.42578125" bestFit="1" customWidth="1"/>
    <col min="35" max="35" width="13" bestFit="1" customWidth="1"/>
    <col min="36" max="36" width="9.28515625" bestFit="1" customWidth="1"/>
  </cols>
  <sheetData>
    <row r="1" spans="1:3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</row>
    <row r="2" spans="1:36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1:36" ht="16.5" thickTop="1" thickBot="1" x14ac:dyDescent="0.3">
      <c r="A3" s="11"/>
      <c r="B3" s="2" t="s">
        <v>0</v>
      </c>
      <c r="C3" s="3">
        <v>0.1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</row>
    <row r="4" spans="1:36" ht="16.5" thickTop="1" thickBot="1" x14ac:dyDescent="0.3">
      <c r="A4" s="11"/>
      <c r="B4" s="2" t="s">
        <v>1</v>
      </c>
      <c r="C4" s="4">
        <f>C3/30</f>
        <v>3.3333333333333335E-3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</row>
    <row r="5" spans="1:36" ht="16.5" thickTop="1" thickBot="1" x14ac:dyDescent="0.3">
      <c r="A5" s="11"/>
      <c r="B5" s="2" t="s">
        <v>2</v>
      </c>
      <c r="C5" s="4">
        <f>1</f>
        <v>1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</row>
    <row r="6" spans="1:36" ht="16.5" thickTop="1" thickBot="1" x14ac:dyDescent="0.3">
      <c r="A6" s="11"/>
      <c r="B6" s="2" t="s">
        <v>3</v>
      </c>
      <c r="C6" s="5">
        <v>500</v>
      </c>
      <c r="D6" s="11">
        <v>501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</row>
    <row r="7" spans="1:36" ht="16.5" thickTop="1" thickBot="1" x14ac:dyDescent="0.3">
      <c r="A7" s="8"/>
      <c r="B7" s="6"/>
      <c r="C7" s="6"/>
      <c r="D7" s="8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</row>
    <row r="8" spans="1:36" ht="16.5" thickTop="1" thickBot="1" x14ac:dyDescent="0.3">
      <c r="A8" s="11"/>
      <c r="B8" s="2" t="s">
        <v>4</v>
      </c>
      <c r="C8" s="5">
        <v>460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</row>
    <row r="9" spans="1:36" ht="16.5" thickTop="1" thickBot="1" x14ac:dyDescent="0.3">
      <c r="A9" s="11"/>
      <c r="B9" s="2" t="s">
        <v>5</v>
      </c>
      <c r="C9" s="5">
        <v>7800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</row>
    <row r="10" spans="1:36" ht="16.5" thickTop="1" thickBot="1" x14ac:dyDescent="0.3">
      <c r="A10" s="11"/>
      <c r="B10" s="2" t="s">
        <v>6</v>
      </c>
      <c r="C10" s="5">
        <v>46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36" ht="16.5" thickTop="1" thickBot="1" x14ac:dyDescent="0.3">
      <c r="A11" s="8"/>
      <c r="B11" s="6"/>
      <c r="C11" s="6"/>
      <c r="D11" s="8"/>
      <c r="E11" s="11"/>
      <c r="F11" s="12">
        <v>1</v>
      </c>
      <c r="G11" s="12">
        <v>2</v>
      </c>
      <c r="H11" s="12">
        <v>3</v>
      </c>
      <c r="I11" s="12">
        <v>4</v>
      </c>
      <c r="J11" s="12">
        <v>5</v>
      </c>
      <c r="K11" s="12">
        <v>6</v>
      </c>
      <c r="L11" s="12">
        <v>7</v>
      </c>
      <c r="M11" s="12">
        <v>8</v>
      </c>
      <c r="N11" s="12">
        <v>9</v>
      </c>
      <c r="O11" s="12">
        <v>10</v>
      </c>
      <c r="P11" s="12">
        <v>11</v>
      </c>
      <c r="Q11" s="12">
        <v>12</v>
      </c>
      <c r="R11" s="12">
        <v>13</v>
      </c>
      <c r="S11" s="12">
        <v>14</v>
      </c>
      <c r="T11" s="12">
        <v>15</v>
      </c>
      <c r="U11" s="12">
        <v>16</v>
      </c>
      <c r="V11" s="12">
        <v>17</v>
      </c>
      <c r="W11" s="12">
        <v>18</v>
      </c>
      <c r="X11" s="12">
        <v>19</v>
      </c>
      <c r="Y11" s="12">
        <v>20</v>
      </c>
      <c r="Z11" s="12">
        <v>21</v>
      </c>
      <c r="AA11" s="12">
        <v>22</v>
      </c>
      <c r="AB11" s="12">
        <v>23</v>
      </c>
      <c r="AC11" s="12">
        <v>24</v>
      </c>
      <c r="AD11" s="12">
        <v>25</v>
      </c>
      <c r="AE11" s="12">
        <v>26</v>
      </c>
      <c r="AF11" s="12">
        <v>27</v>
      </c>
      <c r="AG11" s="12">
        <v>28</v>
      </c>
      <c r="AH11" s="12">
        <v>29</v>
      </c>
      <c r="AI11" s="12">
        <v>30</v>
      </c>
      <c r="AJ11" s="12">
        <v>31</v>
      </c>
    </row>
    <row r="12" spans="1:36" ht="16.5" thickTop="1" thickBot="1" x14ac:dyDescent="0.3">
      <c r="A12" s="11"/>
      <c r="B12" s="2" t="s">
        <v>11</v>
      </c>
      <c r="C12" s="5">
        <v>9200</v>
      </c>
      <c r="D12" s="11"/>
      <c r="E12" s="11" t="s">
        <v>0</v>
      </c>
      <c r="F12" s="13">
        <v>0</v>
      </c>
      <c r="G12" s="13">
        <f>F12+$C$4</f>
        <v>3.3333333333333335E-3</v>
      </c>
      <c r="H12" s="13">
        <f>G12+$C$4</f>
        <v>6.6666666666666671E-3</v>
      </c>
      <c r="I12" s="13">
        <f t="shared" ref="I12:AJ12" si="0">H12+$C$4</f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13">
        <f t="shared" si="0"/>
        <v>9.9999999999999936E-2</v>
      </c>
    </row>
    <row r="13" spans="1:36" ht="16.5" thickTop="1" thickBot="1" x14ac:dyDescent="0.3">
      <c r="A13" s="11"/>
      <c r="B13" s="2" t="s">
        <v>8</v>
      </c>
      <c r="C13" s="5">
        <v>100</v>
      </c>
      <c r="D13" s="11"/>
      <c r="E13" s="11" t="s">
        <v>9</v>
      </c>
      <c r="F13" s="14">
        <f>C14</f>
        <v>300</v>
      </c>
      <c r="G13" s="14">
        <v>125.98510031199007</v>
      </c>
      <c r="H13" s="14">
        <v>48.029799376019895</v>
      </c>
      <c r="I13" s="14">
        <v>18.59001827905394</v>
      </c>
      <c r="J13" s="14">
        <v>7.2128994012468883</v>
      </c>
      <c r="K13" s="14">
        <v>2.7997196416876764</v>
      </c>
      <c r="L13" s="14">
        <v>1.0867960305041822</v>
      </c>
      <c r="M13" s="14">
        <v>0.42187744356895224</v>
      </c>
      <c r="N13" s="14">
        <v>0.16376660834132173</v>
      </c>
      <c r="O13" s="14">
        <v>6.3571803719579822E-2</v>
      </c>
      <c r="P13" s="14">
        <v>2.4677646249006716E-2</v>
      </c>
      <c r="Q13" s="14">
        <v>9.579502133585955E-3</v>
      </c>
      <c r="R13" s="14">
        <v>3.7186229320738942E-3</v>
      </c>
      <c r="S13" s="14">
        <v>1.4435151557533846E-3</v>
      </c>
      <c r="T13" s="14">
        <v>5.603515176936404E-4</v>
      </c>
      <c r="U13" s="14">
        <v>2.1752028464263123E-4</v>
      </c>
      <c r="V13" s="14">
        <v>8.4438176269057422E-5</v>
      </c>
      <c r="W13" s="14">
        <v>3.2777874215581397E-5</v>
      </c>
      <c r="X13" s="14">
        <v>1.2722111431858111E-5</v>
      </c>
      <c r="Y13" s="14">
        <v>4.9539055694919282E-6</v>
      </c>
      <c r="Z13" s="14">
        <v>1.7904334329612879E-6</v>
      </c>
      <c r="AA13" s="14">
        <v>1.8391745589065234E-6</v>
      </c>
      <c r="AB13" s="14">
        <v>-9.1584970507431204E-6</v>
      </c>
      <c r="AC13" s="14">
        <v>8.1630008433065704E-5</v>
      </c>
      <c r="AD13" s="14">
        <v>-7.0334049029115381E-4</v>
      </c>
      <c r="AE13" s="14">
        <v>6.0692282442399298E-3</v>
      </c>
      <c r="AF13" s="14">
        <v>-5.2368720820943904E-2</v>
      </c>
      <c r="AG13" s="14">
        <v>0.45186820289118668</v>
      </c>
      <c r="AH13" s="14">
        <v>-3.8989847689813057</v>
      </c>
      <c r="AI13" s="14">
        <v>33.642735260059268</v>
      </c>
      <c r="AJ13" s="15">
        <f>C13</f>
        <v>100</v>
      </c>
    </row>
    <row r="14" spans="1:36" ht="16.5" thickTop="1" thickBot="1" x14ac:dyDescent="0.3">
      <c r="A14" s="11"/>
      <c r="B14" s="7" t="s">
        <v>7</v>
      </c>
      <c r="C14" s="7">
        <v>300</v>
      </c>
      <c r="D14" s="11"/>
      <c r="E14" s="11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</row>
    <row r="15" spans="1:36" ht="16.5" thickTop="1" thickBot="1" x14ac:dyDescent="0.3">
      <c r="A15" s="11"/>
      <c r="B15" s="8"/>
      <c r="C15" s="9"/>
      <c r="D15" s="11"/>
      <c r="E15" s="11" t="s">
        <v>10</v>
      </c>
      <c r="F15" s="16"/>
      <c r="G15" s="16">
        <f>(H15*G19)+G20</f>
        <v>125.98510031199007</v>
      </c>
      <c r="H15" s="16">
        <f t="shared" ref="H15:AI15" si="1">(I15*H19)+H20</f>
        <v>48.029799376019895</v>
      </c>
      <c r="I15" s="16">
        <f t="shared" si="1"/>
        <v>18.59001827905394</v>
      </c>
      <c r="J15" s="16">
        <f t="shared" si="1"/>
        <v>7.2128994012468883</v>
      </c>
      <c r="K15" s="16">
        <f t="shared" si="1"/>
        <v>2.7997196416876764</v>
      </c>
      <c r="L15" s="16">
        <f t="shared" si="1"/>
        <v>1.0867960305041822</v>
      </c>
      <c r="M15" s="16">
        <f t="shared" si="1"/>
        <v>0.42187744356895224</v>
      </c>
      <c r="N15" s="16">
        <f t="shared" si="1"/>
        <v>0.16376660834132173</v>
      </c>
      <c r="O15" s="16">
        <f t="shared" si="1"/>
        <v>6.3571803719579822E-2</v>
      </c>
      <c r="P15" s="16">
        <f t="shared" si="1"/>
        <v>2.4677646249006716E-2</v>
      </c>
      <c r="Q15" s="16">
        <f t="shared" si="1"/>
        <v>9.579502133585955E-3</v>
      </c>
      <c r="R15" s="16">
        <f t="shared" si="1"/>
        <v>3.7186229320738942E-3</v>
      </c>
      <c r="S15" s="16">
        <f t="shared" si="1"/>
        <v>1.4435151557533846E-3</v>
      </c>
      <c r="T15" s="16">
        <f t="shared" si="1"/>
        <v>5.603515176936404E-4</v>
      </c>
      <c r="U15" s="16">
        <f t="shared" si="1"/>
        <v>2.1752028464263126E-4</v>
      </c>
      <c r="V15" s="16">
        <f t="shared" si="1"/>
        <v>8.4438176269057409E-5</v>
      </c>
      <c r="W15" s="16">
        <f t="shared" si="1"/>
        <v>3.2777874215581424E-5</v>
      </c>
      <c r="X15" s="16">
        <f t="shared" si="1"/>
        <v>1.2722111431858028E-5</v>
      </c>
      <c r="Y15" s="16">
        <f t="shared" si="1"/>
        <v>4.9539055694921332E-6</v>
      </c>
      <c r="Z15" s="16">
        <f t="shared" si="1"/>
        <v>1.7904334329607818E-6</v>
      </c>
      <c r="AA15" s="16">
        <f t="shared" si="1"/>
        <v>1.8391745589077685E-6</v>
      </c>
      <c r="AB15" s="16">
        <f t="shared" si="1"/>
        <v>-9.1584970507461833E-6</v>
      </c>
      <c r="AC15" s="16">
        <f t="shared" si="1"/>
        <v>8.1630008433073239E-5</v>
      </c>
      <c r="AD15" s="16">
        <f t="shared" si="1"/>
        <v>-7.0334049029117246E-4</v>
      </c>
      <c r="AE15" s="16">
        <f t="shared" si="1"/>
        <v>6.0692282442399749E-3</v>
      </c>
      <c r="AF15" s="16">
        <f t="shared" si="1"/>
        <v>-5.2368720820944015E-2</v>
      </c>
      <c r="AG15" s="16">
        <f t="shared" si="1"/>
        <v>0.4518682028911869</v>
      </c>
      <c r="AH15" s="16">
        <f t="shared" si="1"/>
        <v>-3.8989847689813057</v>
      </c>
      <c r="AI15" s="16">
        <f t="shared" si="1"/>
        <v>33.642735260059268</v>
      </c>
      <c r="AJ15" s="16"/>
    </row>
    <row r="16" spans="1:36" ht="16.5" thickTop="1" thickBot="1" x14ac:dyDescent="0.3">
      <c r="A16" s="11"/>
      <c r="B16" s="7" t="s">
        <v>13</v>
      </c>
      <c r="C16" s="7"/>
      <c r="D16" s="11"/>
      <c r="E16" s="16" t="s">
        <v>12</v>
      </c>
      <c r="F16" s="17">
        <v>9200</v>
      </c>
      <c r="G16" s="11">
        <f>-$C$10*(G13-F13)/$C$4</f>
        <v>2401405.6156945368</v>
      </c>
      <c r="H16" s="11">
        <f t="shared" ref="H16:AI16" si="2">-$C$10*(H13-G13)/$C$4</f>
        <v>1075783.1529163884</v>
      </c>
      <c r="I16" s="11">
        <f t="shared" si="2"/>
        <v>406268.97913813015</v>
      </c>
      <c r="J16" s="11">
        <f t="shared" si="2"/>
        <v>157004.24051373731</v>
      </c>
      <c r="K16" s="11">
        <f t="shared" si="2"/>
        <v>60901.880681917115</v>
      </c>
      <c r="L16" s="11">
        <f t="shared" si="2"/>
        <v>23638.345834332216</v>
      </c>
      <c r="M16" s="11">
        <f t="shared" si="2"/>
        <v>9175.8764997061717</v>
      </c>
      <c r="N16" s="11">
        <f t="shared" si="2"/>
        <v>3561.9295261413004</v>
      </c>
      <c r="O16" s="11">
        <f t="shared" si="2"/>
        <v>1382.6883037800383</v>
      </c>
      <c r="P16" s="11">
        <f t="shared" si="2"/>
        <v>536.73937309390885</v>
      </c>
      <c r="Q16" s="11">
        <f t="shared" si="2"/>
        <v>208.3543887928065</v>
      </c>
      <c r="R16" s="11">
        <f t="shared" si="2"/>
        <v>80.880132980866435</v>
      </c>
      <c r="S16" s="11">
        <f t="shared" si="2"/>
        <v>31.396487313223034</v>
      </c>
      <c r="T16" s="11">
        <f t="shared" si="2"/>
        <v>12.187658205224468</v>
      </c>
      <c r="U16" s="11">
        <f t="shared" si="2"/>
        <v>4.7310710161039262</v>
      </c>
      <c r="V16" s="11">
        <f t="shared" si="2"/>
        <v>1.8365330955553185</v>
      </c>
      <c r="W16" s="11">
        <f t="shared" si="2"/>
        <v>0.712912168337969</v>
      </c>
      <c r="X16" s="11">
        <f t="shared" si="2"/>
        <v>0.27676952641538133</v>
      </c>
      <c r="Y16" s="11">
        <f t="shared" si="2"/>
        <v>0.10720124090065333</v>
      </c>
      <c r="Z16" s="11">
        <f t="shared" si="2"/>
        <v>4.3655915484122829E-2</v>
      </c>
      <c r="AA16" s="11">
        <f t="shared" si="2"/>
        <v>-6.7262753804424931E-4</v>
      </c>
      <c r="AB16" s="11">
        <f t="shared" si="2"/>
        <v>0.15176786821316507</v>
      </c>
      <c r="AC16" s="11">
        <f t="shared" si="2"/>
        <v>-1.2528813756765618</v>
      </c>
      <c r="AD16" s="11">
        <f t="shared" si="2"/>
        <v>10.832592882394229</v>
      </c>
      <c r="AE16" s="11">
        <f t="shared" si="2"/>
        <v>-93.461448536528934</v>
      </c>
      <c r="AF16" s="11">
        <f t="shared" si="2"/>
        <v>806.44369709953696</v>
      </c>
      <c r="AG16" s="11">
        <f t="shared" si="2"/>
        <v>-6958.4695472274016</v>
      </c>
      <c r="AH16" s="11">
        <f t="shared" si="2"/>
        <v>60041.771011840392</v>
      </c>
      <c r="AI16" s="11">
        <f t="shared" si="2"/>
        <v>-518075.7364007599</v>
      </c>
      <c r="AJ16" s="11"/>
    </row>
    <row r="17" spans="1:36" ht="16.5" thickTop="1" thickBot="1" x14ac:dyDescent="0.3">
      <c r="A17" s="11"/>
      <c r="B17" s="7" t="s">
        <v>14</v>
      </c>
      <c r="C17" s="10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</row>
    <row r="18" spans="1:36" ht="16.5" thickTop="1" thickBot="1" x14ac:dyDescent="0.3">
      <c r="A18" s="11"/>
      <c r="B18" s="7" t="s">
        <v>15</v>
      </c>
      <c r="C18" s="10">
        <f>C10/C4^2</f>
        <v>4139999.9999999991</v>
      </c>
      <c r="D18" s="11"/>
      <c r="E18" s="11" t="s">
        <v>18</v>
      </c>
      <c r="F18" s="11"/>
      <c r="G18" s="11">
        <f>-$C$9*$C$8/$C$5*G13</f>
        <v>-452034539.91942036</v>
      </c>
      <c r="H18" s="11">
        <f>-$C$9*$C$8/$C$5*I13</f>
        <v>-66700985.585245535</v>
      </c>
      <c r="I18" s="11">
        <f t="shared" ref="I18:AJ18" si="3">-$C$9*$C$8/$C$5*J13</f>
        <v>-25879883.051673837</v>
      </c>
      <c r="J18" s="11">
        <f t="shared" si="3"/>
        <v>-10045394.074375384</v>
      </c>
      <c r="K18" s="11">
        <f t="shared" si="3"/>
        <v>-3899424.1574490056</v>
      </c>
      <c r="L18" s="11">
        <f t="shared" si="3"/>
        <v>-1513696.2675254007</v>
      </c>
      <c r="M18" s="11">
        <f t="shared" si="3"/>
        <v>-587594.59072866233</v>
      </c>
      <c r="N18" s="11">
        <f t="shared" si="3"/>
        <v>-228095.63174585241</v>
      </c>
      <c r="O18" s="11">
        <f t="shared" si="3"/>
        <v>-88543.394741436088</v>
      </c>
      <c r="P18" s="11">
        <f t="shared" si="3"/>
        <v>-34371.253655306406</v>
      </c>
      <c r="Q18" s="11">
        <f t="shared" si="3"/>
        <v>-13342.419080281132</v>
      </c>
      <c r="R18" s="11">
        <f t="shared" si="3"/>
        <v>-5179.3323788431444</v>
      </c>
      <c r="S18" s="11">
        <f t="shared" si="3"/>
        <v>-2010.5412454847817</v>
      </c>
      <c r="T18" s="11">
        <f t="shared" si="3"/>
        <v>-780.4627812977609</v>
      </c>
      <c r="U18" s="11">
        <f t="shared" si="3"/>
        <v>-302.96417645337806</v>
      </c>
      <c r="V18" s="11">
        <f t="shared" si="3"/>
        <v>-117.60701268550605</v>
      </c>
      <c r="W18" s="11">
        <f t="shared" si="3"/>
        <v>-45.646935817506908</v>
      </c>
      <c r="X18" s="11">
        <f t="shared" si="3"/>
        <v>-17.774613183337038</v>
      </c>
      <c r="Y18" s="11">
        <f t="shared" si="3"/>
        <v>-6.4240751574651007</v>
      </c>
      <c r="Z18" s="11">
        <f t="shared" si="3"/>
        <v>-6.5989583173566055</v>
      </c>
      <c r="AA18" s="11">
        <f t="shared" si="3"/>
        <v>32.860687418066313</v>
      </c>
      <c r="AB18" s="11">
        <f t="shared" si="3"/>
        <v>-292.88847025783974</v>
      </c>
      <c r="AC18" s="11">
        <f t="shared" si="3"/>
        <v>2523.5856791646597</v>
      </c>
      <c r="AD18" s="11">
        <f t="shared" si="3"/>
        <v>-21776.390940332869</v>
      </c>
      <c r="AE18" s="11">
        <f t="shared" si="3"/>
        <v>187898.97030554674</v>
      </c>
      <c r="AF18" s="11">
        <f t="shared" si="3"/>
        <v>-1621303.1119735779</v>
      </c>
      <c r="AG18" s="11">
        <f t="shared" si="3"/>
        <v>13989557.351104924</v>
      </c>
      <c r="AH18" s="11">
        <f t="shared" si="3"/>
        <v>-120710134.11309266</v>
      </c>
      <c r="AI18" s="11">
        <f t="shared" si="3"/>
        <v>-358800000</v>
      </c>
      <c r="AJ18" s="11">
        <f t="shared" si="3"/>
        <v>0</v>
      </c>
    </row>
    <row r="19" spans="1:36" ht="16.5" thickTop="1" thickBot="1" x14ac:dyDescent="0.3">
      <c r="A19" s="11"/>
      <c r="B19" s="7" t="s">
        <v>16</v>
      </c>
      <c r="C19" s="10">
        <f>(2*C10)/(C4^2)+(C9*C8)/C5</f>
        <v>11867999.999999998</v>
      </c>
      <c r="D19" s="11"/>
      <c r="E19" s="11" t="s">
        <v>13</v>
      </c>
      <c r="F19" s="11">
        <v>0</v>
      </c>
      <c r="G19" s="11">
        <f>-$C$18/($C$19+$C$20*F19)</f>
        <v>-0.34883720930232553</v>
      </c>
      <c r="H19" s="11">
        <f t="shared" ref="H19:AI19" si="4">-$C$18/($C$19+$C$20*G19)</f>
        <v>-0.39716748768472904</v>
      </c>
      <c r="I19" s="11">
        <f t="shared" si="4"/>
        <v>-0.40494040593779607</v>
      </c>
      <c r="J19" s="11">
        <f t="shared" si="4"/>
        <v>-0.4062190081621499</v>
      </c>
      <c r="K19" s="11">
        <f t="shared" si="4"/>
        <v>-0.40643010492156101</v>
      </c>
      <c r="L19" s="11">
        <f t="shared" si="4"/>
        <v>-0.40646497802255066</v>
      </c>
      <c r="M19" s="11">
        <f t="shared" si="4"/>
        <v>-0.40647073962099717</v>
      </c>
      <c r="N19" s="11">
        <f t="shared" si="4"/>
        <v>-0.40647169154566137</v>
      </c>
      <c r="O19" s="11">
        <f t="shared" si="4"/>
        <v>-0.40647184882198806</v>
      </c>
      <c r="P19" s="11">
        <f t="shared" si="4"/>
        <v>-0.40647187480708435</v>
      </c>
      <c r="Q19" s="11">
        <f t="shared" si="4"/>
        <v>-0.40647187910032606</v>
      </c>
      <c r="R19" s="11">
        <f t="shared" si="4"/>
        <v>-0.40647187980965277</v>
      </c>
      <c r="S19" s="11">
        <f t="shared" si="4"/>
        <v>-0.4064718799268473</v>
      </c>
      <c r="T19" s="11">
        <f t="shared" si="4"/>
        <v>-0.40647187994621015</v>
      </c>
      <c r="U19" s="11">
        <f t="shared" si="4"/>
        <v>-0.40647187994940925</v>
      </c>
      <c r="V19" s="11">
        <f t="shared" si="4"/>
        <v>-0.40647187994993778</v>
      </c>
      <c r="W19" s="11">
        <f t="shared" si="4"/>
        <v>-0.40647187995002515</v>
      </c>
      <c r="X19" s="11">
        <f t="shared" si="4"/>
        <v>-0.40647187995003953</v>
      </c>
      <c r="Y19" s="11">
        <f t="shared" si="4"/>
        <v>-0.40647187995004191</v>
      </c>
      <c r="Z19" s="11">
        <f t="shared" si="4"/>
        <v>-0.40647187995004236</v>
      </c>
      <c r="AA19" s="11">
        <f t="shared" si="4"/>
        <v>-0.40647187995004236</v>
      </c>
      <c r="AB19" s="11">
        <f t="shared" si="4"/>
        <v>-0.40647187995004236</v>
      </c>
      <c r="AC19" s="11">
        <f t="shared" si="4"/>
        <v>-0.40647187995004236</v>
      </c>
      <c r="AD19" s="11">
        <f t="shared" si="4"/>
        <v>-0.40647187995004236</v>
      </c>
      <c r="AE19" s="11">
        <f t="shared" si="4"/>
        <v>-0.40647187995004236</v>
      </c>
      <c r="AF19" s="11">
        <f t="shared" si="4"/>
        <v>-0.40647187995004236</v>
      </c>
      <c r="AG19" s="11">
        <f t="shared" si="4"/>
        <v>-0.40647187995004236</v>
      </c>
      <c r="AH19" s="11">
        <f t="shared" si="4"/>
        <v>-0.40647187995004236</v>
      </c>
      <c r="AI19" s="11">
        <f t="shared" si="4"/>
        <v>-0.40647187995004236</v>
      </c>
      <c r="AJ19" s="11"/>
    </row>
    <row r="20" spans="1:36" ht="16.5" thickTop="1" thickBot="1" x14ac:dyDescent="0.3">
      <c r="A20" s="11"/>
      <c r="B20" s="7" t="s">
        <v>17</v>
      </c>
      <c r="C20" s="10">
        <f>C18</f>
        <v>4139999.9999999991</v>
      </c>
      <c r="D20" s="11"/>
      <c r="E20" s="11" t="s">
        <v>19</v>
      </c>
      <c r="F20" s="11">
        <v>300</v>
      </c>
      <c r="G20" s="11">
        <f>(F20*$C$20-G18)/($C$19-$F$19*$C$20)</f>
        <v>142.73968148967143</v>
      </c>
      <c r="H20" s="11">
        <f t="shared" ref="H20:AI20" si="5">(G20*$C$20-H18)/($C$19-$F$19*$C$20)</f>
        <v>55.413150231924938</v>
      </c>
      <c r="I20" s="11">
        <f t="shared" si="5"/>
        <v>21.510812690583339</v>
      </c>
      <c r="J20" s="11">
        <f t="shared" si="5"/>
        <v>8.3501987372253463</v>
      </c>
      <c r="K20" s="11">
        <f t="shared" si="5"/>
        <v>3.2414262663938271</v>
      </c>
      <c r="L20" s="11">
        <f t="shared" si="5"/>
        <v>1.2582744363326461</v>
      </c>
      <c r="M20" s="11">
        <f t="shared" si="5"/>
        <v>0.48844377798667143</v>
      </c>
      <c r="N20" s="11">
        <f t="shared" si="5"/>
        <v>0.18960674693382812</v>
      </c>
      <c r="O20" s="11">
        <f t="shared" si="5"/>
        <v>7.3602572214988587E-2</v>
      </c>
      <c r="P20" s="11">
        <f t="shared" si="5"/>
        <v>2.8571444440963864E-2</v>
      </c>
      <c r="Q20" s="11">
        <f t="shared" si="5"/>
        <v>1.1091017784451596E-2</v>
      </c>
      <c r="R20" s="11">
        <f t="shared" si="5"/>
        <v>4.3053712509666959E-3</v>
      </c>
      <c r="S20" s="11">
        <f t="shared" si="5"/>
        <v>1.6712822905701806E-3</v>
      </c>
      <c r="T20" s="11">
        <f t="shared" si="5"/>
        <v>6.4876739671876544E-4</v>
      </c>
      <c r="U20" s="11">
        <f t="shared" si="5"/>
        <v>2.5184202889021461E-4</v>
      </c>
      <c r="V20" s="11">
        <f t="shared" si="5"/>
        <v>9.7761460422227377E-5</v>
      </c>
      <c r="W20" s="11">
        <f t="shared" si="5"/>
        <v>3.7949054766222467E-5</v>
      </c>
      <c r="X20" s="11">
        <f t="shared" si="5"/>
        <v>1.4735734741784467E-5</v>
      </c>
      <c r="Y20" s="11">
        <f t="shared" si="5"/>
        <v>5.6816664129131099E-6</v>
      </c>
      <c r="Z20" s="11">
        <f t="shared" si="5"/>
        <v>2.5380061734763124E-6</v>
      </c>
      <c r="AA20" s="11">
        <f t="shared" si="5"/>
        <v>-1.8834969548259512E-6</v>
      </c>
      <c r="AB20" s="11">
        <f t="shared" si="5"/>
        <v>2.4021805937382907E-5</v>
      </c>
      <c r="AC20" s="11">
        <f t="shared" si="5"/>
        <v>-2.0425812290056412E-4</v>
      </c>
      <c r="AD20" s="11">
        <f t="shared" si="5"/>
        <v>1.7636301239909451E-3</v>
      </c>
      <c r="AE20" s="11">
        <f t="shared" si="5"/>
        <v>-1.5217184158428064E-2</v>
      </c>
      <c r="AF20" s="11">
        <f t="shared" si="5"/>
        <v>0.1313029970978839</v>
      </c>
      <c r="AG20" s="11">
        <f t="shared" si="5"/>
        <v>-1.1329594660532261</v>
      </c>
      <c r="AH20" s="11">
        <f t="shared" si="5"/>
        <v>9.7758410788365619</v>
      </c>
      <c r="AI20" s="11">
        <f t="shared" si="5"/>
        <v>33.642735260059268</v>
      </c>
      <c r="AJ20" s="11"/>
    </row>
    <row r="21" spans="1:36" ht="15.75" thickTop="1" x14ac:dyDescent="0.25"/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SPARK BEATS</dc:creator>
  <cp:lastModifiedBy>SPARK BEATS</cp:lastModifiedBy>
  <dcterms:created xsi:type="dcterms:W3CDTF">2021-03-10T15:24:21Z</dcterms:created>
  <dcterms:modified xsi:type="dcterms:W3CDTF">2021-04-05T11:35:07Z</dcterms:modified>
</cp:coreProperties>
</file>